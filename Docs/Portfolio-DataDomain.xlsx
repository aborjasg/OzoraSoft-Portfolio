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borj\Documents\OzoraSoft\Portfolio\Docs\"/>
    </mc:Choice>
  </mc:AlternateContent>
  <xr:revisionPtr revIDLastSave="0" documentId="13_ncr:1_{5D2FA064-9D8F-42E8-832B-EA7343BCD1B1}" xr6:coauthVersionLast="47" xr6:coauthVersionMax="47" xr10:uidLastSave="{00000000-0000-0000-0000-000000000000}"/>
  <bookViews>
    <workbookView xWindow="-26955" yWindow="1305" windowWidth="21765" windowHeight="13335" activeTab="1" xr2:uid="{00000000-000D-0000-FFFF-FFFF00000000}"/>
  </bookViews>
  <sheets>
    <sheet name="Entities" sheetId="1" r:id="rId1"/>
    <sheet name="Enums" sheetId="2" r:id="rId2"/>
    <sheet name="Tables" sheetId="4" r:id="rId3"/>
    <sheet name="Abbreviatures" sheetId="5" r:id="rId4"/>
  </sheets>
  <definedNames>
    <definedName name="_xlnm._FilterDatabase" localSheetId="1" hidden="1">Enums!$A$1:$B$55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2" l="1"/>
  <c r="C37" i="2" s="1"/>
  <c r="C31" i="2"/>
  <c r="F31" i="2" s="1"/>
  <c r="C30" i="2"/>
  <c r="C26" i="2"/>
  <c r="C27" i="2" s="1"/>
  <c r="C22" i="2"/>
  <c r="C23" i="2" s="1"/>
  <c r="C17" i="2"/>
  <c r="F17" i="2" s="1"/>
  <c r="C12" i="2"/>
  <c r="C13" i="2" s="1"/>
  <c r="C8" i="2"/>
  <c r="C9" i="2" s="1"/>
  <c r="C3" i="2"/>
  <c r="C4" i="2" s="1"/>
  <c r="A36" i="2"/>
  <c r="F36" i="2" s="1"/>
  <c r="A30" i="2"/>
  <c r="A26" i="2"/>
  <c r="A22" i="2"/>
  <c r="F22" i="2" s="1"/>
  <c r="A17" i="2"/>
  <c r="A12" i="2"/>
  <c r="A8" i="2"/>
  <c r="E4" i="4"/>
  <c r="M4" i="4" s="1"/>
  <c r="E8" i="4"/>
  <c r="M8" i="4" s="1"/>
  <c r="E12" i="4"/>
  <c r="M12" i="4" s="1"/>
  <c r="E16" i="4"/>
  <c r="M16" i="4" s="1"/>
  <c r="E20" i="4"/>
  <c r="M20" i="4" s="1"/>
  <c r="E24" i="4"/>
  <c r="M24" i="4" s="1"/>
  <c r="E28" i="4"/>
  <c r="M28" i="4" s="1"/>
  <c r="E32" i="4"/>
  <c r="M32" i="4" s="1"/>
  <c r="E36" i="4"/>
  <c r="M36" i="4" s="1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5" i="2"/>
  <c r="F30" i="2"/>
  <c r="F29" i="2"/>
  <c r="F25" i="2"/>
  <c r="F21" i="2"/>
  <c r="F16" i="2"/>
  <c r="F11" i="2"/>
  <c r="F7" i="2"/>
  <c r="F2" i="2"/>
  <c r="E41" i="4" l="1"/>
  <c r="M41" i="4" s="1"/>
  <c r="E45" i="4"/>
  <c r="M45" i="4" s="1"/>
  <c r="F4" i="2"/>
  <c r="E44" i="4"/>
  <c r="M44" i="4" s="1"/>
  <c r="C5" i="2"/>
  <c r="E42" i="4"/>
  <c r="M42" i="4" s="1"/>
  <c r="E46" i="4"/>
  <c r="M46" i="4" s="1"/>
  <c r="E40" i="4"/>
  <c r="M40" i="4" s="1"/>
  <c r="E43" i="4"/>
  <c r="M43" i="4" s="1"/>
  <c r="E47" i="4"/>
  <c r="M47" i="4" s="1"/>
  <c r="E3" i="4"/>
  <c r="M3" i="4" s="1"/>
  <c r="E39" i="4"/>
  <c r="M39" i="4" s="1"/>
  <c r="E35" i="4"/>
  <c r="M35" i="4" s="1"/>
  <c r="E31" i="4"/>
  <c r="M31" i="4" s="1"/>
  <c r="E27" i="4"/>
  <c r="M27" i="4" s="1"/>
  <c r="E23" i="4"/>
  <c r="M23" i="4" s="1"/>
  <c r="E19" i="4"/>
  <c r="M19" i="4" s="1"/>
  <c r="E15" i="4"/>
  <c r="M15" i="4" s="1"/>
  <c r="E11" i="4"/>
  <c r="M11" i="4" s="1"/>
  <c r="E7" i="4"/>
  <c r="M7" i="4" s="1"/>
  <c r="F8" i="2"/>
  <c r="E38" i="4"/>
  <c r="M38" i="4" s="1"/>
  <c r="E34" i="4"/>
  <c r="M34" i="4" s="1"/>
  <c r="E30" i="4"/>
  <c r="M30" i="4" s="1"/>
  <c r="E26" i="4"/>
  <c r="M26" i="4" s="1"/>
  <c r="E22" i="4"/>
  <c r="M22" i="4" s="1"/>
  <c r="E18" i="4"/>
  <c r="M18" i="4" s="1"/>
  <c r="E14" i="4"/>
  <c r="M14" i="4" s="1"/>
  <c r="E10" i="4"/>
  <c r="M10" i="4" s="1"/>
  <c r="E6" i="4"/>
  <c r="M6" i="4" s="1"/>
  <c r="F3" i="2"/>
  <c r="E37" i="4"/>
  <c r="M37" i="4" s="1"/>
  <c r="E33" i="4"/>
  <c r="M33" i="4" s="1"/>
  <c r="E29" i="4"/>
  <c r="M29" i="4" s="1"/>
  <c r="E25" i="4"/>
  <c r="M25" i="4" s="1"/>
  <c r="E21" i="4"/>
  <c r="M21" i="4" s="1"/>
  <c r="E17" i="4"/>
  <c r="M17" i="4" s="1"/>
  <c r="E13" i="4"/>
  <c r="M13" i="4" s="1"/>
  <c r="E9" i="4"/>
  <c r="M9" i="4" s="1"/>
  <c r="E5" i="4"/>
  <c r="M5" i="4" s="1"/>
  <c r="F37" i="2"/>
  <c r="C38" i="2"/>
  <c r="C32" i="2"/>
  <c r="C28" i="2"/>
  <c r="F28" i="2" s="1"/>
  <c r="F27" i="2"/>
  <c r="F26" i="2"/>
  <c r="C24" i="2"/>
  <c r="F24" i="2" s="1"/>
  <c r="F23" i="2"/>
  <c r="C18" i="2"/>
  <c r="C14" i="2"/>
  <c r="F13" i="2"/>
  <c r="F12" i="2"/>
  <c r="C10" i="2"/>
  <c r="F10" i="2" s="1"/>
  <c r="F9" i="2"/>
  <c r="E61" i="4"/>
  <c r="M61" i="4" s="1"/>
  <c r="E57" i="4"/>
  <c r="M57" i="4" s="1"/>
  <c r="E53" i="4"/>
  <c r="M53" i="4" s="1"/>
  <c r="E49" i="4" l="1"/>
  <c r="M49" i="4" s="1"/>
  <c r="E50" i="4"/>
  <c r="M50" i="4" s="1"/>
  <c r="E55" i="4"/>
  <c r="M55" i="4" s="1"/>
  <c r="E60" i="4"/>
  <c r="M60" i="4" s="1"/>
  <c r="E54" i="4"/>
  <c r="M54" i="4" s="1"/>
  <c r="F5" i="2"/>
  <c r="E51" i="4"/>
  <c r="M51" i="4" s="1"/>
  <c r="E56" i="4"/>
  <c r="M56" i="4" s="1"/>
  <c r="E48" i="4"/>
  <c r="M48" i="4" s="1"/>
  <c r="C6" i="2"/>
  <c r="E52" i="4"/>
  <c r="M52" i="4" s="1"/>
  <c r="E58" i="4"/>
  <c r="M58" i="4" s="1"/>
  <c r="E59" i="4"/>
  <c r="M59" i="4" s="1"/>
  <c r="C39" i="2"/>
  <c r="F39" i="2" s="1"/>
  <c r="F38" i="2"/>
  <c r="C33" i="2"/>
  <c r="F32" i="2"/>
  <c r="C19" i="2"/>
  <c r="F18" i="2"/>
  <c r="C15" i="2"/>
  <c r="F15" i="2" s="1"/>
  <c r="F14" i="2"/>
  <c r="E65" i="4" l="1"/>
  <c r="M65" i="4" s="1"/>
  <c r="E68" i="4"/>
  <c r="M68" i="4" s="1"/>
  <c r="E76" i="4"/>
  <c r="M76" i="4" s="1"/>
  <c r="E84" i="4"/>
  <c r="M84" i="4" s="1"/>
  <c r="E92" i="4"/>
  <c r="M92" i="4" s="1"/>
  <c r="E75" i="4"/>
  <c r="M75" i="4" s="1"/>
  <c r="E63" i="4"/>
  <c r="M63" i="4" s="1"/>
  <c r="E71" i="4"/>
  <c r="M71" i="4" s="1"/>
  <c r="E79" i="4"/>
  <c r="M79" i="4" s="1"/>
  <c r="E87" i="4"/>
  <c r="M87" i="4" s="1"/>
  <c r="E95" i="4"/>
  <c r="M95" i="4" s="1"/>
  <c r="E67" i="4"/>
  <c r="M67" i="4" s="1"/>
  <c r="E91" i="4"/>
  <c r="M91" i="4" s="1"/>
  <c r="E64" i="4"/>
  <c r="M64" i="4" s="1"/>
  <c r="E72" i="4"/>
  <c r="M72" i="4" s="1"/>
  <c r="E80" i="4"/>
  <c r="M80" i="4" s="1"/>
  <c r="E88" i="4"/>
  <c r="M88" i="4" s="1"/>
  <c r="E83" i="4"/>
  <c r="M83" i="4" s="1"/>
  <c r="E86" i="4"/>
  <c r="M86" i="4" s="1"/>
  <c r="E70" i="4"/>
  <c r="M70" i="4" s="1"/>
  <c r="E93" i="4"/>
  <c r="M93" i="4" s="1"/>
  <c r="E77" i="4"/>
  <c r="M77" i="4" s="1"/>
  <c r="E66" i="4"/>
  <c r="M66" i="4" s="1"/>
  <c r="E89" i="4"/>
  <c r="M89" i="4" s="1"/>
  <c r="E94" i="4"/>
  <c r="M94" i="4" s="1"/>
  <c r="E78" i="4"/>
  <c r="M78" i="4" s="1"/>
  <c r="E85" i="4"/>
  <c r="M85" i="4" s="1"/>
  <c r="E69" i="4"/>
  <c r="M69" i="4" s="1"/>
  <c r="E74" i="4"/>
  <c r="M74" i="4" s="1"/>
  <c r="E82" i="4"/>
  <c r="M82" i="4" s="1"/>
  <c r="E73" i="4"/>
  <c r="M73" i="4" s="1"/>
  <c r="E62" i="4"/>
  <c r="M62" i="4" s="1"/>
  <c r="E90" i="4"/>
  <c r="M90" i="4" s="1"/>
  <c r="F6" i="2"/>
  <c r="E81" i="4"/>
  <c r="M81" i="4" s="1"/>
  <c r="C34" i="2"/>
  <c r="F34" i="2" s="1"/>
  <c r="F33" i="2"/>
  <c r="C20" i="2"/>
  <c r="F20" i="2" s="1"/>
  <c r="F19" i="2"/>
</calcChain>
</file>

<file path=xl/sharedStrings.xml><?xml version="1.0" encoding="utf-8"?>
<sst xmlns="http://schemas.openxmlformats.org/spreadsheetml/2006/main" count="900" uniqueCount="371">
  <si>
    <t>Entity</t>
  </si>
  <si>
    <t>Description</t>
  </si>
  <si>
    <t>Parent</t>
  </si>
  <si>
    <t>Control</t>
  </si>
  <si>
    <t>Asset</t>
  </si>
  <si>
    <t>Access Control</t>
  </si>
  <si>
    <t>Record</t>
  </si>
  <si>
    <t>Organization</t>
  </si>
  <si>
    <t>Policy</t>
  </si>
  <si>
    <t>Procedure</t>
  </si>
  <si>
    <t>Process</t>
  </si>
  <si>
    <t>Rule</t>
  </si>
  <si>
    <t>User</t>
  </si>
  <si>
    <t>Device</t>
  </si>
  <si>
    <t>Asset.Primary</t>
  </si>
  <si>
    <t>Information</t>
  </si>
  <si>
    <t>Business Process</t>
  </si>
  <si>
    <t>Business Activity</t>
  </si>
  <si>
    <t>Hardware</t>
  </si>
  <si>
    <t>Software</t>
  </si>
  <si>
    <t>Network</t>
  </si>
  <si>
    <t>Personnel</t>
  </si>
  <si>
    <t>ABAC attribute-based access control</t>
  </si>
  <si>
    <t>ACL access control list</t>
  </si>
  <si>
    <t>BIA business impact analysis</t>
  </si>
  <si>
    <t>BYOD bring your own device</t>
  </si>
  <si>
    <t>CAPTCHA completely automated public Turing test to tell computers and humans apart</t>
  </si>
  <si>
    <t>CPU central processing unit</t>
  </si>
  <si>
    <t>DAC discretionary access control</t>
  </si>
  <si>
    <t>DNS domain name system</t>
  </si>
  <si>
    <t>GPS global positioning system</t>
  </si>
  <si>
    <t>IAM identity and access management</t>
  </si>
  <si>
    <t>ICT information and communication technology</t>
  </si>
  <si>
    <t>ID identifier</t>
  </si>
  <si>
    <t>IDE integrated development environment</t>
  </si>
  <si>
    <t>IDS intrusion detection system</t>
  </si>
  <si>
    <t>IoT internet of things</t>
  </si>
  <si>
    <t>IP internet protocol</t>
  </si>
  <si>
    <t>IPS intrusion prevention system</t>
  </si>
  <si>
    <t>IT information technology</t>
  </si>
  <si>
    <t>ISMS information security management system</t>
  </si>
  <si>
    <t>MAC mandatory access control</t>
  </si>
  <si>
    <t>NTP network time protocol</t>
  </si>
  <si>
    <t>PIA privacy impact assessment</t>
  </si>
  <si>
    <t>PII personally identifiable information</t>
  </si>
  <si>
    <t>PIN personal identification number</t>
  </si>
  <si>
    <t>PKI public key infrastructure</t>
  </si>
  <si>
    <t>PTP precision time protocol</t>
  </si>
  <si>
    <t>RBAC role-based access control</t>
  </si>
  <si>
    <t>RPO recovery point objective</t>
  </si>
  <si>
    <t>RTO recovery time objective</t>
  </si>
  <si>
    <t>SAST static application security testing</t>
  </si>
  <si>
    <t>SD secure digital</t>
  </si>
  <si>
    <t>SDN software-defined networking</t>
  </si>
  <si>
    <t>SD-WAN software-defined wide area networking</t>
  </si>
  <si>
    <t>SIEM security information and event management</t>
  </si>
  <si>
    <t>SMS short message service</t>
  </si>
  <si>
    <t>SQL structured query language</t>
  </si>
  <si>
    <t>SSO single sign on</t>
  </si>
  <si>
    <t>SWID software identification</t>
  </si>
  <si>
    <t>UEBA user and entity behaviour analytics</t>
  </si>
  <si>
    <t>UPS uninterruptible power supply</t>
  </si>
  <si>
    <t>URL uniform resource locator</t>
  </si>
  <si>
    <t>USB universal serial bus</t>
  </si>
  <si>
    <t>VM virtual machine</t>
  </si>
  <si>
    <t>VPN virtual private network</t>
  </si>
  <si>
    <t>WiFi wireless fidelity</t>
  </si>
  <si>
    <t>Abbreviated terms</t>
  </si>
  <si>
    <t>Organizational controls</t>
  </si>
  <si>
    <t>People controls</t>
  </si>
  <si>
    <t>Physical controls</t>
  </si>
  <si>
    <t>Technological controls</t>
  </si>
  <si>
    <t>Control.Category</t>
  </si>
  <si>
    <t>People</t>
  </si>
  <si>
    <t>Physical</t>
  </si>
  <si>
    <t>Technological</t>
  </si>
  <si>
    <t>Otherwise</t>
  </si>
  <si>
    <t>Properties</t>
  </si>
  <si>
    <t>ControlType</t>
  </si>
  <si>
    <t>Organization.ControlType</t>
  </si>
  <si>
    <t>Detective</t>
  </si>
  <si>
    <t>Corrective</t>
  </si>
  <si>
    <t>Information.Security.Property</t>
  </si>
  <si>
    <t>Confidentiality</t>
  </si>
  <si>
    <t>Integrity</t>
  </si>
  <si>
    <t>Availability</t>
  </si>
  <si>
    <t>Cybersecurity.Concept</t>
  </si>
  <si>
    <t>Identify</t>
  </si>
  <si>
    <t>Protect</t>
  </si>
  <si>
    <t>Detect</t>
  </si>
  <si>
    <t>Respond</t>
  </si>
  <si>
    <t>Recover</t>
  </si>
  <si>
    <t>Operational.Capabilities</t>
  </si>
  <si>
    <t>Governance</t>
  </si>
  <si>
    <t>Asset_management</t>
  </si>
  <si>
    <t>Information_protection</t>
  </si>
  <si>
    <t>Human_resource_security</t>
  </si>
  <si>
    <t>Physical_security</t>
  </si>
  <si>
    <t>System_and_network_security</t>
  </si>
  <si>
    <t>Application_security</t>
  </si>
  <si>
    <t>Secure_configuration</t>
  </si>
  <si>
    <t>Identity_and_access_management</t>
  </si>
  <si>
    <t>Threat_and_vulnerability_management</t>
  </si>
  <si>
    <t>Continuity</t>
  </si>
  <si>
    <t>Supplier_relationships_security</t>
  </si>
  <si>
    <t>Legal_and_compliance</t>
  </si>
  <si>
    <t>Information_security_event_management</t>
  </si>
  <si>
    <t>Information_security_assurance</t>
  </si>
  <si>
    <t>Security.Domain</t>
  </si>
  <si>
    <t>Governance  and  Ecosystem</t>
  </si>
  <si>
    <t>Protection</t>
  </si>
  <si>
    <t>Defence</t>
  </si>
  <si>
    <t>Resilience</t>
  </si>
  <si>
    <t>Control.Group</t>
  </si>
  <si>
    <t>InformationSecurityProperties</t>
  </si>
  <si>
    <t>CyberSecurityConcepts</t>
  </si>
  <si>
    <t>OperationalCapabilities</t>
  </si>
  <si>
    <t>SecurityDomains</t>
  </si>
  <si>
    <t>DataType</t>
  </si>
  <si>
    <t>int</t>
  </si>
  <si>
    <t>int[]</t>
  </si>
  <si>
    <t>Table</t>
  </si>
  <si>
    <t>Organization.Policy</t>
  </si>
  <si>
    <t>Preventive</t>
  </si>
  <si>
    <t>Id</t>
  </si>
  <si>
    <t>GroupId</t>
  </si>
  <si>
    <t>Name</t>
  </si>
  <si>
    <t>Policies for information security</t>
  </si>
  <si>
    <t>Information security roles and responsibilities</t>
  </si>
  <si>
    <t>Segregation of duties</t>
  </si>
  <si>
    <t>Active</t>
  </si>
  <si>
    <t>Management responsibilities</t>
  </si>
  <si>
    <t>Contact with authorities</t>
  </si>
  <si>
    <t>Contact with special interest groups</t>
  </si>
  <si>
    <t>Threat intelligence</t>
  </si>
  <si>
    <t>Information security in project management</t>
  </si>
  <si>
    <t>Inventory of information and other associated assets</t>
  </si>
  <si>
    <t>Acceptable use of information and other associated assets</t>
  </si>
  <si>
    <t>Return of assets</t>
  </si>
  <si>
    <t>Classification of information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</si>
  <si>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</si>
  <si>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</si>
  <si>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</si>
  <si>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</si>
  <si>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</si>
  <si>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</si>
  <si>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</si>
  <si>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</si>
  <si>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</si>
  <si>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</si>
  <si>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</si>
  <si>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</si>
  <si>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Labelling of information</t>
  </si>
  <si>
    <t>5.13</t>
  </si>
  <si>
    <t>5.14</t>
  </si>
  <si>
    <t>5.15</t>
  </si>
  <si>
    <t>5.16</t>
  </si>
  <si>
    <t>Information transfer</t>
  </si>
  <si>
    <t>Access control</t>
  </si>
  <si>
    <t>Identity management</t>
  </si>
  <si>
    <t>Authentication information</t>
  </si>
  <si>
    <t>5.17</t>
  </si>
  <si>
    <t>Access rights</t>
  </si>
  <si>
    <t>Information security in supplier relationships</t>
  </si>
  <si>
    <t>5.18</t>
  </si>
  <si>
    <t>5.19</t>
  </si>
  <si>
    <t>Addressing information security within supplier agreements</t>
  </si>
  <si>
    <t>Managing information security in the ICT supply chain</t>
  </si>
  <si>
    <t>5.20</t>
  </si>
  <si>
    <t>5.21</t>
  </si>
  <si>
    <t>Monitoring, review and change management of supplier services</t>
  </si>
  <si>
    <t>Information security for use of cloud services</t>
  </si>
  <si>
    <t>Information security incident management planning and preparation</t>
  </si>
  <si>
    <t>Assessment and decision on information security events</t>
  </si>
  <si>
    <t>5.22</t>
  </si>
  <si>
    <t>5.23</t>
  </si>
  <si>
    <t>5.24</t>
  </si>
  <si>
    <t>5.25</t>
  </si>
  <si>
    <t>Response to information security incidents</t>
  </si>
  <si>
    <t>Learning from information security incidents</t>
  </si>
  <si>
    <t>5.26</t>
  </si>
  <si>
    <t>5.27</t>
  </si>
  <si>
    <t>5.28</t>
  </si>
  <si>
    <t>Collection of evidence</t>
  </si>
  <si>
    <t>Information security during disruption</t>
  </si>
  <si>
    <t>ICT readiness for business continuity</t>
  </si>
  <si>
    <t>Legal, statutory, regulatory and contractual requirements</t>
  </si>
  <si>
    <t>5.29</t>
  </si>
  <si>
    <t>5.30</t>
  </si>
  <si>
    <t>5.31</t>
  </si>
  <si>
    <t>5.32</t>
  </si>
  <si>
    <t>Intellectual property rights</t>
  </si>
  <si>
    <t>Protection of records</t>
  </si>
  <si>
    <t>Privacy and protection of PII</t>
  </si>
  <si>
    <t>Independent review of information security</t>
  </si>
  <si>
    <t>5.33</t>
  </si>
  <si>
    <t>5.34</t>
  </si>
  <si>
    <t>5.35</t>
  </si>
  <si>
    <t>Compliance with policies, rules and standards for information security</t>
  </si>
  <si>
    <t>Documented operating procedures</t>
  </si>
  <si>
    <t>5.36</t>
  </si>
  <si>
    <t>5.37</t>
  </si>
  <si>
    <t>Screening</t>
  </si>
  <si>
    <t>6.1</t>
  </si>
  <si>
    <t>Terms and conditions of employment</t>
  </si>
  <si>
    <t>6.2</t>
  </si>
  <si>
    <t>Information security awareness, education and training</t>
  </si>
  <si>
    <t>Disciplinary process</t>
  </si>
  <si>
    <t>6.3</t>
  </si>
  <si>
    <t>6.4</t>
  </si>
  <si>
    <t>Responsibilities after termination or change of employment</t>
  </si>
  <si>
    <t>Confidentiality	or non-disclosure agreements</t>
  </si>
  <si>
    <t>6.5</t>
  </si>
  <si>
    <t>6.6</t>
  </si>
  <si>
    <t>Remote working</t>
  </si>
  <si>
    <t>Information security event reporting</t>
  </si>
  <si>
    <t>6.7</t>
  </si>
  <si>
    <t>6.8</t>
  </si>
  <si>
    <t>Physical security perimeters</t>
  </si>
  <si>
    <t>7.1</t>
  </si>
  <si>
    <t>7.2</t>
  </si>
  <si>
    <t>7.3</t>
  </si>
  <si>
    <t>7.4</t>
  </si>
  <si>
    <t>Physical entry</t>
  </si>
  <si>
    <t>Securing offices, rooms and facilities</t>
  </si>
  <si>
    <t>Physical security monitoring</t>
  </si>
  <si>
    <t>Protecting against physical and environmental threats</t>
  </si>
  <si>
    <t>7.5</t>
  </si>
  <si>
    <t>7.6</t>
  </si>
  <si>
    <t>Working in secure areas</t>
  </si>
  <si>
    <t>Clear desk and clear screen</t>
  </si>
  <si>
    <t>Equipment siting and protection</t>
  </si>
  <si>
    <t>7.7</t>
  </si>
  <si>
    <t>7.8</t>
  </si>
  <si>
    <t>Security of assets off-premises</t>
  </si>
  <si>
    <t>Storage media</t>
  </si>
  <si>
    <t>7.9</t>
  </si>
  <si>
    <t>7.10</t>
  </si>
  <si>
    <t xml:space="preserve"> Supporting utilities</t>
  </si>
  <si>
    <t>Cabling security</t>
  </si>
  <si>
    <t>Equipment maintenance</t>
  </si>
  <si>
    <t>7.11</t>
  </si>
  <si>
    <t>7.12</t>
  </si>
  <si>
    <t>7.13</t>
  </si>
  <si>
    <t>Secure disposal or re-use of equipment</t>
  </si>
  <si>
    <t>7.14</t>
  </si>
  <si>
    <t>User endpoint devices</t>
  </si>
  <si>
    <t>8.1</t>
  </si>
  <si>
    <t>Privileged access rights</t>
  </si>
  <si>
    <t>8.2</t>
  </si>
  <si>
    <t>8.3</t>
  </si>
  <si>
    <t>Information access restriction</t>
  </si>
  <si>
    <t>Access to source code</t>
  </si>
  <si>
    <t>Secure authentication</t>
  </si>
  <si>
    <t>8.4</t>
  </si>
  <si>
    <t>8.5</t>
  </si>
  <si>
    <t>8.6</t>
  </si>
  <si>
    <t>8.7</t>
  </si>
  <si>
    <t>8.8</t>
  </si>
  <si>
    <t>8.9</t>
  </si>
  <si>
    <t>8.10</t>
  </si>
  <si>
    <t>Capacity management</t>
  </si>
  <si>
    <t>Protection against malware</t>
  </si>
  <si>
    <t>Management of technical vulnerabilities</t>
  </si>
  <si>
    <t>Configuration management</t>
  </si>
  <si>
    <t>Information deletion</t>
  </si>
  <si>
    <t>Data masking</t>
  </si>
  <si>
    <t>Data leakage prevention</t>
  </si>
  <si>
    <t>8.11</t>
  </si>
  <si>
    <t>8.12</t>
  </si>
  <si>
    <t>Information backup</t>
  </si>
  <si>
    <t>8.13</t>
  </si>
  <si>
    <t>8.14</t>
  </si>
  <si>
    <t>Redundancy of information processing facilities</t>
  </si>
  <si>
    <t>Logging</t>
  </si>
  <si>
    <t>8.15</t>
  </si>
  <si>
    <t>8.16</t>
  </si>
  <si>
    <t>Monitoring activities</t>
  </si>
  <si>
    <t xml:space="preserve"> Clock synchronization</t>
  </si>
  <si>
    <t>Use of privileged utility programs</t>
  </si>
  <si>
    <t>8.17</t>
  </si>
  <si>
    <t>8.18</t>
  </si>
  <si>
    <t>8.19</t>
  </si>
  <si>
    <t>Installation of software on operational systems</t>
  </si>
  <si>
    <t>Networks security</t>
  </si>
  <si>
    <t>8.20</t>
  </si>
  <si>
    <t>8.21</t>
  </si>
  <si>
    <t>Security of network services</t>
  </si>
  <si>
    <t>Segregation of networks</t>
  </si>
  <si>
    <t>8.22</t>
  </si>
  <si>
    <t>8.23</t>
  </si>
  <si>
    <t>Web filtering</t>
  </si>
  <si>
    <t>Use of cryptography</t>
  </si>
  <si>
    <t>Secure development life cycle</t>
  </si>
  <si>
    <t>8.24</t>
  </si>
  <si>
    <t>8.25</t>
  </si>
  <si>
    <t>8.26</t>
  </si>
  <si>
    <t>Application security requirements</t>
  </si>
  <si>
    <t xml:space="preserve"> Secure system architecture and engineering principles</t>
  </si>
  <si>
    <t>Secure coding</t>
  </si>
  <si>
    <t>8.27</t>
  </si>
  <si>
    <t>8.28</t>
  </si>
  <si>
    <t>8.29</t>
  </si>
  <si>
    <t>Security testing in development and acceptance</t>
  </si>
  <si>
    <t xml:space="preserve"> Outsourced development</t>
  </si>
  <si>
    <t>8.30</t>
  </si>
  <si>
    <t>8.31</t>
  </si>
  <si>
    <t>Separation of development, test and production environments</t>
  </si>
  <si>
    <t>Change management</t>
  </si>
  <si>
    <t>8.32</t>
  </si>
  <si>
    <t>8.33</t>
  </si>
  <si>
    <t>Test information</t>
  </si>
  <si>
    <t>Protection of information systems during audit testing</t>
  </si>
  <si>
    <t>8.34</t>
  </si>
  <si>
    <t>ControlName</t>
  </si>
  <si>
    <t>INSERT INTO asjrf517_ozorasoft_infoseccontrols.SystemParameters
(group_id, id, name, active) VALUES</t>
  </si>
  <si>
    <t>Code</t>
  </si>
  <si>
    <t>INSERT INTO asjrf517_ozorasoft_infoseccontrols.OrganizationPolicy</t>
  </si>
  <si>
    <t>Information.Security.ControlID</t>
  </si>
  <si>
    <t>(code, name, information_security_control_id, control_type, information_security_properties, cybersecurity_concepts, operational_capabilities, security_domains, active) VALUES</t>
  </si>
  <si>
    <t>Confidentiality, Integrity, Availability</t>
  </si>
  <si>
    <t>Integrity, Availability</t>
  </si>
  <si>
    <t>Confidentiality, Availability</t>
  </si>
  <si>
    <t>Confidentiality, Integrity Availability</t>
  </si>
  <si>
    <t>Confidentiality, Integrity</t>
  </si>
  <si>
    <t>Governance_and_Ecosystem</t>
  </si>
  <si>
    <t>Identify,Protect,Respond,Recover</t>
  </si>
  <si>
    <t>Protect,Respond,Recover</t>
  </si>
  <si>
    <t>Identify,Detect,Respond</t>
  </si>
  <si>
    <t>Identify,Protect</t>
  </si>
  <si>
    <t>Respond,Recover</t>
  </si>
  <si>
    <t>Detect,Respond</t>
  </si>
  <si>
    <t>Protect,Respond</t>
  </si>
  <si>
    <t>Protect,Recover</t>
  </si>
  <si>
    <t>Protect,Detect</t>
  </si>
  <si>
    <t>Identify,Protect,Detect</t>
  </si>
  <si>
    <t>ProtectDetect</t>
  </si>
  <si>
    <t>Preventive,Corrective</t>
  </si>
  <si>
    <t>Preventive,Detective,Corrective</t>
  </si>
  <si>
    <t>Preventive,Detective</t>
  </si>
  <si>
    <t>Detective,Corrective</t>
  </si>
  <si>
    <t>Governance,Identity_and_access_management</t>
  </si>
  <si>
    <t>Asset_management,Information_protection</t>
  </si>
  <si>
    <t>Governance,Information_security_event_management</t>
  </si>
  <si>
    <t>Legal_and_compliance,Asset_management,Information_protection</t>
  </si>
  <si>
    <t>Information_protection,Legal_and_compliance</t>
  </si>
  <si>
    <t>Legal_and_compliance,Information_security_assurance</t>
  </si>
  <si>
    <t>Asset_management,Physical_security,System_and_network_security,Application_security,Secure_configuration,Identity_and_access_management,Threat_and_vulnerability_management,Continuity,Information_security_event_management</t>
  </si>
  <si>
    <t>Human_resource_security,Asset_management</t>
  </si>
  <si>
    <t>Human_resource_security,Information_protection,Supplier_relationships</t>
  </si>
  <si>
    <t>Asset_management,Information_protection,Physical_security,System_and_network_security</t>
  </si>
  <si>
    <t>Physical_security,Identity_and_Access_Management</t>
  </si>
  <si>
    <t>Physical_security,Asset_management</t>
  </si>
  <si>
    <t>Identity_and_access_management,Application_security,Secure_configuration</t>
  </si>
  <si>
    <t>System_and_network_security,Information_protection</t>
  </si>
  <si>
    <t>Continuity,Asset_management</t>
  </si>
  <si>
    <t>System_and_network_security,Secure_configuration,Application_security</t>
  </si>
  <si>
    <t>Secure_configuration,Application_security</t>
  </si>
  <si>
    <t>Application_security,System_and_network_security</t>
  </si>
  <si>
    <t>Application_security,Information_security_assurance,System_and_network_security</t>
  </si>
  <si>
    <t>System_and_network_security,Application_security,Supplier_relationships_security</t>
  </si>
  <si>
    <t>Governance_and_Ecosystem,Resilience</t>
  </si>
  <si>
    <t>Governance_and_Ecosystem,Protection,Resilience</t>
  </si>
  <si>
    <t>Defence,Resilience</t>
  </si>
  <si>
    <t>Governance_and_EcosystemProtection</t>
  </si>
  <si>
    <t>Governance_and_Ecosystem,Protection</t>
  </si>
  <si>
    <t>Protection,Defence</t>
  </si>
  <si>
    <t>Governance_and_EcosystemProtection,Defence,Information_security_assurance</t>
  </si>
  <si>
    <t>Protection,Resilience</t>
  </si>
  <si>
    <t>Governance_and_Ecosystem,Protection,Defence</t>
  </si>
  <si>
    <t>Asset.Supporting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</si>
</sst>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/>
    <xf numFmtId="0" fontId="1" fillId="2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0" fillId="0" borderId="1" xfId="0" quotePrefix="1" applyBorder="1"/>
    <xf numFmtId="49" fontId="0" fillId="0" borderId="0" xfId="0" applyNumberFormat="1"/>
    <xf numFmtId="49" fontId="1" fillId="4" borderId="2" xfId="0" applyNumberFormat="1" applyFont="1" applyFill="1" applyBorder="1"/>
    <xf numFmtId="49" fontId="0" fillId="0" borderId="1" xfId="0" quotePrefix="1" applyNumberFormat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Normal="100" workbookViewId="0">
      <selection activeCell="B2" sqref="B2"/>
    </sheetView>
  </sheetViews>
  <sheetFormatPr defaultRowHeight="15" x14ac:dyDescent="0.25"/>
  <cols>
    <col min="1" max="1" width="13.140625" customWidth="1"/>
    <col min="2" max="2" width="17.42578125" customWidth="1"/>
    <col min="3" max="3" width="41" customWidth="1"/>
    <col min="4" max="4" width="28.5703125" bestFit="1" customWidth="1"/>
    <col min="5" max="5" width="11" customWidth="1"/>
  </cols>
  <sheetData>
    <row r="1" spans="1:5" x14ac:dyDescent="0.25">
      <c r="A1" s="2" t="s">
        <v>2</v>
      </c>
      <c r="B1" s="2" t="s">
        <v>0</v>
      </c>
      <c r="C1" s="2" t="s">
        <v>1</v>
      </c>
      <c r="D1" s="2" t="s">
        <v>77</v>
      </c>
      <c r="E1" s="2" t="s">
        <v>118</v>
      </c>
    </row>
    <row r="2" spans="1:5" x14ac:dyDescent="0.25">
      <c r="A2" s="5"/>
      <c r="B2" s="5" t="s">
        <v>3</v>
      </c>
      <c r="C2" s="3"/>
      <c r="D2" s="3"/>
      <c r="E2" s="3"/>
    </row>
    <row r="3" spans="1:5" x14ac:dyDescent="0.25">
      <c r="A3" s="5" t="s">
        <v>3</v>
      </c>
      <c r="B3" s="5" t="s">
        <v>4</v>
      </c>
      <c r="C3" s="3"/>
      <c r="D3" s="3"/>
      <c r="E3" s="3"/>
    </row>
    <row r="4" spans="1:5" x14ac:dyDescent="0.25">
      <c r="A4" s="5" t="s">
        <v>4</v>
      </c>
      <c r="B4" s="5" t="s">
        <v>5</v>
      </c>
      <c r="C4" s="3"/>
      <c r="D4" s="3"/>
      <c r="E4" s="3"/>
    </row>
    <row r="5" spans="1:5" x14ac:dyDescent="0.25">
      <c r="A5" s="5" t="s">
        <v>4</v>
      </c>
      <c r="B5" s="5" t="s">
        <v>6</v>
      </c>
      <c r="C5" s="3"/>
      <c r="D5" s="3"/>
      <c r="E5" s="3"/>
    </row>
    <row r="6" spans="1:5" x14ac:dyDescent="0.25">
      <c r="A6" s="5"/>
      <c r="B6" s="5" t="s">
        <v>0</v>
      </c>
      <c r="C6" s="3"/>
      <c r="D6" s="3"/>
      <c r="E6" s="3"/>
    </row>
    <row r="7" spans="1:5" x14ac:dyDescent="0.25">
      <c r="A7" s="5"/>
      <c r="B7" s="5" t="s">
        <v>7</v>
      </c>
      <c r="C7" s="3"/>
      <c r="D7" s="3"/>
      <c r="E7" s="3"/>
    </row>
    <row r="8" spans="1:5" x14ac:dyDescent="0.25">
      <c r="A8" s="5" t="s">
        <v>7</v>
      </c>
      <c r="B8" s="5" t="s">
        <v>8</v>
      </c>
      <c r="C8" s="3"/>
      <c r="D8" s="3" t="s">
        <v>78</v>
      </c>
      <c r="E8" s="3" t="s">
        <v>119</v>
      </c>
    </row>
    <row r="9" spans="1:5" x14ac:dyDescent="0.25">
      <c r="A9" s="5"/>
      <c r="B9" s="5"/>
      <c r="C9" s="3"/>
      <c r="D9" s="3" t="s">
        <v>114</v>
      </c>
      <c r="E9" s="3" t="s">
        <v>120</v>
      </c>
    </row>
    <row r="10" spans="1:5" x14ac:dyDescent="0.25">
      <c r="A10" s="5"/>
      <c r="B10" s="5"/>
      <c r="C10" s="3"/>
      <c r="D10" s="3" t="s">
        <v>115</v>
      </c>
      <c r="E10" s="3" t="s">
        <v>120</v>
      </c>
    </row>
    <row r="11" spans="1:5" x14ac:dyDescent="0.25">
      <c r="A11" s="5"/>
      <c r="B11" s="5"/>
      <c r="C11" s="3"/>
      <c r="D11" s="3" t="s">
        <v>116</v>
      </c>
      <c r="E11" s="3" t="s">
        <v>120</v>
      </c>
    </row>
    <row r="12" spans="1:5" x14ac:dyDescent="0.25">
      <c r="A12" s="5"/>
      <c r="B12" s="5"/>
      <c r="C12" s="3"/>
      <c r="D12" s="3" t="s">
        <v>117</v>
      </c>
      <c r="E12" s="3" t="s">
        <v>120</v>
      </c>
    </row>
    <row r="13" spans="1:5" x14ac:dyDescent="0.25">
      <c r="A13" s="5"/>
      <c r="B13" s="5"/>
      <c r="C13" s="3"/>
      <c r="D13" s="3"/>
      <c r="E13" s="3"/>
    </row>
    <row r="14" spans="1:5" x14ac:dyDescent="0.25">
      <c r="A14" s="5" t="s">
        <v>7</v>
      </c>
      <c r="B14" s="5" t="s">
        <v>9</v>
      </c>
      <c r="C14" s="3"/>
      <c r="D14" s="3"/>
      <c r="E14" s="3"/>
    </row>
    <row r="15" spans="1:5" x14ac:dyDescent="0.25">
      <c r="A15" s="5" t="s">
        <v>7</v>
      </c>
      <c r="B15" s="5" t="s">
        <v>10</v>
      </c>
      <c r="C15" s="3"/>
      <c r="D15" s="3"/>
      <c r="E15" s="3"/>
    </row>
    <row r="16" spans="1:5" x14ac:dyDescent="0.25">
      <c r="A16" s="5" t="s">
        <v>7</v>
      </c>
      <c r="B16" s="5" t="s">
        <v>11</v>
      </c>
      <c r="C16" s="3"/>
      <c r="D16" s="3"/>
      <c r="E16" s="3"/>
    </row>
    <row r="17" spans="1:5" x14ac:dyDescent="0.25">
      <c r="A17" s="5" t="s">
        <v>7</v>
      </c>
      <c r="B17" s="5" t="s">
        <v>12</v>
      </c>
      <c r="C17" s="3"/>
      <c r="D17" s="3"/>
      <c r="E17" s="3"/>
    </row>
    <row r="18" spans="1:5" x14ac:dyDescent="0.25">
      <c r="A18" s="5" t="s">
        <v>12</v>
      </c>
      <c r="B18" s="5" t="s">
        <v>13</v>
      </c>
      <c r="C18" s="3"/>
      <c r="D18" s="3"/>
      <c r="E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FBCA-206E-41A1-8589-5F1F7EE43364}">
  <sheetPr filterMode="1"/>
  <dimension ref="A1:F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defaultRowHeight="15" x14ac:dyDescent="0.25"/>
  <cols>
    <col min="1" max="1" width="8.28515625" style="9" customWidth="1"/>
    <col min="2" max="2" width="39.42578125" bestFit="1" customWidth="1"/>
    <col min="3" max="3" width="7.28515625" style="9" bestFit="1" customWidth="1"/>
    <col min="4" max="4" width="9.140625" style="12"/>
    <col min="6" max="6" width="79.7109375" style="20" bestFit="1" customWidth="1"/>
  </cols>
  <sheetData>
    <row r="1" spans="1:6" ht="30" x14ac:dyDescent="0.25">
      <c r="A1" s="15" t="s">
        <v>125</v>
      </c>
      <c r="B1" s="2" t="s">
        <v>126</v>
      </c>
      <c r="C1" s="7" t="s">
        <v>124</v>
      </c>
      <c r="D1" s="7" t="s">
        <v>130</v>
      </c>
      <c r="F1" s="19" t="s">
        <v>315</v>
      </c>
    </row>
    <row r="2" spans="1:6" s="1" customFormat="1" x14ac:dyDescent="0.25">
      <c r="A2" s="8">
        <v>0</v>
      </c>
      <c r="B2" s="4" t="s">
        <v>113</v>
      </c>
      <c r="C2" s="8">
        <v>10</v>
      </c>
      <c r="D2" s="8">
        <v>1</v>
      </c>
      <c r="F2" s="20" t="str">
        <f t="shared" ref="F2:F28" si="0">_xlfn.CONCAT("(",A2,", ",C2, ", '", B2, "', b'",D2,"'),")</f>
        <v>(0, 10, 'Control.Group', b'1'),</v>
      </c>
    </row>
    <row r="3" spans="1:6" hidden="1" x14ac:dyDescent="0.25">
      <c r="A3" s="8">
        <v>10</v>
      </c>
      <c r="B3" s="3" t="s">
        <v>68</v>
      </c>
      <c r="C3" s="8">
        <f>C2+1</f>
        <v>11</v>
      </c>
      <c r="D3" s="8">
        <v>1</v>
      </c>
      <c r="F3" s="20" t="str">
        <f t="shared" si="0"/>
        <v>(10, 11, 'Organizational controls', b'1'),</v>
      </c>
    </row>
    <row r="4" spans="1:6" hidden="1" x14ac:dyDescent="0.25">
      <c r="A4" s="8">
        <v>10</v>
      </c>
      <c r="B4" s="3" t="s">
        <v>69</v>
      </c>
      <c r="C4" s="8">
        <f t="shared" ref="C4:C39" si="1">C3+1</f>
        <v>12</v>
      </c>
      <c r="D4" s="8">
        <v>1</v>
      </c>
      <c r="F4" s="20" t="str">
        <f t="shared" si="0"/>
        <v>(10, 12, 'People controls', b'1'),</v>
      </c>
    </row>
    <row r="5" spans="1:6" hidden="1" x14ac:dyDescent="0.25">
      <c r="A5" s="8">
        <v>10</v>
      </c>
      <c r="B5" s="3" t="s">
        <v>70</v>
      </c>
      <c r="C5" s="8">
        <f t="shared" si="1"/>
        <v>13</v>
      </c>
      <c r="D5" s="8">
        <v>1</v>
      </c>
      <c r="F5" s="20" t="str">
        <f t="shared" si="0"/>
        <v>(10, 13, 'Physical controls', b'1'),</v>
      </c>
    </row>
    <row r="6" spans="1:6" hidden="1" x14ac:dyDescent="0.25">
      <c r="A6" s="8">
        <v>10</v>
      </c>
      <c r="B6" s="3" t="s">
        <v>71</v>
      </c>
      <c r="C6" s="8">
        <f t="shared" si="1"/>
        <v>14</v>
      </c>
      <c r="D6" s="8">
        <v>1</v>
      </c>
      <c r="F6" s="20" t="str">
        <f t="shared" si="0"/>
        <v>(10, 14, 'Technological controls', b'1'),</v>
      </c>
    </row>
    <row r="7" spans="1:6" s="1" customFormat="1" x14ac:dyDescent="0.25">
      <c r="A7" s="8">
        <v>0</v>
      </c>
      <c r="B7" s="4" t="s">
        <v>14</v>
      </c>
      <c r="C7" s="8">
        <v>20</v>
      </c>
      <c r="D7" s="8">
        <v>1</v>
      </c>
      <c r="F7" s="20" t="str">
        <f t="shared" si="0"/>
        <v>(0, 20, 'Asset.Primary', b'1'),</v>
      </c>
    </row>
    <row r="8" spans="1:6" hidden="1" x14ac:dyDescent="0.25">
      <c r="A8" s="8">
        <f>A6+10</f>
        <v>20</v>
      </c>
      <c r="B8" s="3" t="s">
        <v>15</v>
      </c>
      <c r="C8" s="8">
        <f t="shared" si="1"/>
        <v>21</v>
      </c>
      <c r="D8" s="8">
        <v>1</v>
      </c>
      <c r="F8" s="20" t="str">
        <f t="shared" si="0"/>
        <v>(20, 21, 'Information', b'1'),</v>
      </c>
    </row>
    <row r="9" spans="1:6" hidden="1" x14ac:dyDescent="0.25">
      <c r="A9" s="8">
        <v>20</v>
      </c>
      <c r="B9" s="3" t="s">
        <v>16</v>
      </c>
      <c r="C9" s="8">
        <f t="shared" si="1"/>
        <v>22</v>
      </c>
      <c r="D9" s="8">
        <v>1</v>
      </c>
      <c r="F9" s="20" t="str">
        <f t="shared" si="0"/>
        <v>(20, 22, 'Business Process', b'1'),</v>
      </c>
    </row>
    <row r="10" spans="1:6" hidden="1" x14ac:dyDescent="0.25">
      <c r="A10" s="8">
        <v>20</v>
      </c>
      <c r="B10" s="3" t="s">
        <v>17</v>
      </c>
      <c r="C10" s="8">
        <f t="shared" si="1"/>
        <v>23</v>
      </c>
      <c r="D10" s="8">
        <v>1</v>
      </c>
      <c r="F10" s="20" t="str">
        <f t="shared" si="0"/>
        <v>(20, 23, 'Business Activity', b'1'),</v>
      </c>
    </row>
    <row r="11" spans="1:6" x14ac:dyDescent="0.25">
      <c r="A11" s="8">
        <v>0</v>
      </c>
      <c r="B11" s="4" t="s">
        <v>370</v>
      </c>
      <c r="C11" s="8">
        <v>30</v>
      </c>
      <c r="D11" s="8">
        <v>1</v>
      </c>
      <c r="F11" s="20" t="str">
        <f t="shared" si="0"/>
        <v>(0, 30, 'Asset.Supporting', b'1'),</v>
      </c>
    </row>
    <row r="12" spans="1:6" hidden="1" x14ac:dyDescent="0.25">
      <c r="A12" s="8">
        <f>A10+10</f>
        <v>30</v>
      </c>
      <c r="B12" s="3" t="s">
        <v>18</v>
      </c>
      <c r="C12" s="8">
        <f t="shared" si="1"/>
        <v>31</v>
      </c>
      <c r="D12" s="8">
        <v>1</v>
      </c>
      <c r="F12" s="20" t="str">
        <f t="shared" si="0"/>
        <v>(30, 31, 'Hardware', b'1'),</v>
      </c>
    </row>
    <row r="13" spans="1:6" hidden="1" x14ac:dyDescent="0.25">
      <c r="A13" s="8">
        <v>30</v>
      </c>
      <c r="B13" s="3" t="s">
        <v>19</v>
      </c>
      <c r="C13" s="8">
        <f t="shared" si="1"/>
        <v>32</v>
      </c>
      <c r="D13" s="8">
        <v>1</v>
      </c>
      <c r="F13" s="20" t="str">
        <f t="shared" si="0"/>
        <v>(30, 32, 'Software', b'1'),</v>
      </c>
    </row>
    <row r="14" spans="1:6" hidden="1" x14ac:dyDescent="0.25">
      <c r="A14" s="8">
        <v>30</v>
      </c>
      <c r="B14" s="3" t="s">
        <v>20</v>
      </c>
      <c r="C14" s="8">
        <f t="shared" si="1"/>
        <v>33</v>
      </c>
      <c r="D14" s="8">
        <v>1</v>
      </c>
      <c r="F14" s="20" t="str">
        <f t="shared" si="0"/>
        <v>(30, 33, 'Network', b'1'),</v>
      </c>
    </row>
    <row r="15" spans="1:6" hidden="1" x14ac:dyDescent="0.25">
      <c r="A15" s="8">
        <v>30</v>
      </c>
      <c r="B15" s="3" t="s">
        <v>21</v>
      </c>
      <c r="C15" s="8">
        <f t="shared" si="1"/>
        <v>34</v>
      </c>
      <c r="D15" s="8">
        <v>1</v>
      </c>
      <c r="F15" s="20" t="str">
        <f t="shared" si="0"/>
        <v>(30, 34, 'Personnel', b'1'),</v>
      </c>
    </row>
    <row r="16" spans="1:6" s="1" customFormat="1" x14ac:dyDescent="0.25">
      <c r="A16" s="8">
        <v>0</v>
      </c>
      <c r="B16" s="4" t="s">
        <v>72</v>
      </c>
      <c r="C16" s="8">
        <v>40</v>
      </c>
      <c r="D16" s="8">
        <v>1</v>
      </c>
      <c r="F16" s="20" t="str">
        <f t="shared" si="0"/>
        <v>(0, 40, 'Control.Category', b'1'),</v>
      </c>
    </row>
    <row r="17" spans="1:6" hidden="1" x14ac:dyDescent="0.25">
      <c r="A17" s="8">
        <f>A15+10</f>
        <v>40</v>
      </c>
      <c r="B17" s="3" t="s">
        <v>73</v>
      </c>
      <c r="C17" s="8">
        <f t="shared" si="1"/>
        <v>41</v>
      </c>
      <c r="D17" s="8">
        <v>1</v>
      </c>
      <c r="F17" s="20" t="str">
        <f t="shared" si="0"/>
        <v>(40, 41, 'People', b'1'),</v>
      </c>
    </row>
    <row r="18" spans="1:6" hidden="1" x14ac:dyDescent="0.25">
      <c r="A18" s="8">
        <v>40</v>
      </c>
      <c r="B18" s="3" t="s">
        <v>74</v>
      </c>
      <c r="C18" s="8">
        <f t="shared" si="1"/>
        <v>42</v>
      </c>
      <c r="D18" s="8">
        <v>1</v>
      </c>
      <c r="F18" s="20" t="str">
        <f t="shared" si="0"/>
        <v>(40, 42, 'Physical', b'1'),</v>
      </c>
    </row>
    <row r="19" spans="1:6" hidden="1" x14ac:dyDescent="0.25">
      <c r="A19" s="8">
        <v>40</v>
      </c>
      <c r="B19" s="3" t="s">
        <v>75</v>
      </c>
      <c r="C19" s="8">
        <f t="shared" si="1"/>
        <v>43</v>
      </c>
      <c r="D19" s="8">
        <v>1</v>
      </c>
      <c r="F19" s="20" t="str">
        <f t="shared" si="0"/>
        <v>(40, 43, 'Technological', b'1'),</v>
      </c>
    </row>
    <row r="20" spans="1:6" hidden="1" x14ac:dyDescent="0.25">
      <c r="A20" s="8">
        <v>40</v>
      </c>
      <c r="B20" s="3" t="s">
        <v>76</v>
      </c>
      <c r="C20" s="8">
        <f t="shared" si="1"/>
        <v>44</v>
      </c>
      <c r="D20" s="8">
        <v>1</v>
      </c>
      <c r="F20" s="20" t="str">
        <f t="shared" si="0"/>
        <v>(40, 44, 'Otherwise', b'1'),</v>
      </c>
    </row>
    <row r="21" spans="1:6" s="1" customFormat="1" x14ac:dyDescent="0.25">
      <c r="A21" s="8">
        <v>0</v>
      </c>
      <c r="B21" s="4" t="s">
        <v>79</v>
      </c>
      <c r="C21" s="8">
        <v>50</v>
      </c>
      <c r="D21" s="8">
        <v>1</v>
      </c>
      <c r="F21" s="20" t="str">
        <f t="shared" si="0"/>
        <v>(0, 50, 'Organization.ControlType', b'1'),</v>
      </c>
    </row>
    <row r="22" spans="1:6" hidden="1" x14ac:dyDescent="0.25">
      <c r="A22" s="8">
        <f>A20+10</f>
        <v>50</v>
      </c>
      <c r="B22" s="3" t="s">
        <v>123</v>
      </c>
      <c r="C22" s="8">
        <f t="shared" si="1"/>
        <v>51</v>
      </c>
      <c r="D22" s="8">
        <v>1</v>
      </c>
      <c r="F22" s="20" t="str">
        <f t="shared" si="0"/>
        <v>(50, 51, 'Preventive', b'1'),</v>
      </c>
    </row>
    <row r="23" spans="1:6" hidden="1" x14ac:dyDescent="0.25">
      <c r="A23" s="8">
        <v>50</v>
      </c>
      <c r="B23" s="3" t="s">
        <v>80</v>
      </c>
      <c r="C23" s="8">
        <f t="shared" si="1"/>
        <v>52</v>
      </c>
      <c r="D23" s="8">
        <v>1</v>
      </c>
      <c r="F23" s="20" t="str">
        <f t="shared" si="0"/>
        <v>(50, 52, 'Detective', b'1'),</v>
      </c>
    </row>
    <row r="24" spans="1:6" hidden="1" x14ac:dyDescent="0.25">
      <c r="A24" s="8">
        <v>50</v>
      </c>
      <c r="B24" s="3" t="s">
        <v>81</v>
      </c>
      <c r="C24" s="8">
        <f t="shared" si="1"/>
        <v>53</v>
      </c>
      <c r="D24" s="8">
        <v>1</v>
      </c>
      <c r="F24" s="20" t="str">
        <f t="shared" si="0"/>
        <v>(50, 53, 'Corrective', b'1'),</v>
      </c>
    </row>
    <row r="25" spans="1:6" x14ac:dyDescent="0.25">
      <c r="A25" s="8">
        <v>0</v>
      </c>
      <c r="B25" s="4" t="s">
        <v>82</v>
      </c>
      <c r="C25" s="8">
        <v>60</v>
      </c>
      <c r="D25" s="8">
        <v>1</v>
      </c>
      <c r="F25" s="20" t="str">
        <f t="shared" si="0"/>
        <v>(0, 60, 'Information.Security.Property', b'1'),</v>
      </c>
    </row>
    <row r="26" spans="1:6" hidden="1" x14ac:dyDescent="0.25">
      <c r="A26" s="8">
        <f>A24+10</f>
        <v>60</v>
      </c>
      <c r="B26" s="3" t="s">
        <v>83</v>
      </c>
      <c r="C26" s="8">
        <f t="shared" si="1"/>
        <v>61</v>
      </c>
      <c r="D26" s="8">
        <v>1</v>
      </c>
      <c r="F26" s="20" t="str">
        <f t="shared" si="0"/>
        <v>(60, 61, 'Confidentiality', b'1'),</v>
      </c>
    </row>
    <row r="27" spans="1:6" hidden="1" x14ac:dyDescent="0.25">
      <c r="A27" s="8">
        <v>60</v>
      </c>
      <c r="B27" s="3" t="s">
        <v>84</v>
      </c>
      <c r="C27" s="8">
        <f t="shared" si="1"/>
        <v>62</v>
      </c>
      <c r="D27" s="8">
        <v>1</v>
      </c>
      <c r="F27" s="20" t="str">
        <f t="shared" si="0"/>
        <v>(60, 62, 'Integrity', b'1'),</v>
      </c>
    </row>
    <row r="28" spans="1:6" hidden="1" x14ac:dyDescent="0.25">
      <c r="A28" s="8">
        <v>60</v>
      </c>
      <c r="B28" s="3" t="s">
        <v>85</v>
      </c>
      <c r="C28" s="8">
        <f t="shared" si="1"/>
        <v>63</v>
      </c>
      <c r="D28" s="8">
        <v>1</v>
      </c>
      <c r="F28" s="20" t="str">
        <f t="shared" si="0"/>
        <v>(60, 63, 'Availability', b'1'),</v>
      </c>
    </row>
    <row r="29" spans="1:6" x14ac:dyDescent="0.25">
      <c r="A29" s="8">
        <v>0</v>
      </c>
      <c r="B29" s="4" t="s">
        <v>86</v>
      </c>
      <c r="C29" s="8">
        <v>70</v>
      </c>
      <c r="D29" s="8">
        <v>1</v>
      </c>
      <c r="F29" s="20" t="str">
        <f t="shared" ref="F29:F55" si="2">_xlfn.CONCAT("(",A29,", ",C29, ", '", B29, "', b'",D29,"'),")</f>
        <v>(0, 70, 'Cybersecurity.Concept', b'1'),</v>
      </c>
    </row>
    <row r="30" spans="1:6" hidden="1" x14ac:dyDescent="0.25">
      <c r="A30" s="8">
        <f>A28+10</f>
        <v>70</v>
      </c>
      <c r="B30" s="3" t="s">
        <v>87</v>
      </c>
      <c r="C30" s="8">
        <f t="shared" si="1"/>
        <v>71</v>
      </c>
      <c r="D30" s="8">
        <v>1</v>
      </c>
      <c r="F30" s="20" t="str">
        <f t="shared" si="2"/>
        <v>(70, 71, 'Identify', b'1'),</v>
      </c>
    </row>
    <row r="31" spans="1:6" hidden="1" x14ac:dyDescent="0.25">
      <c r="A31" s="8">
        <v>70</v>
      </c>
      <c r="B31" s="3" t="s">
        <v>88</v>
      </c>
      <c r="C31" s="8">
        <f t="shared" si="1"/>
        <v>72</v>
      </c>
      <c r="D31" s="8">
        <v>1</v>
      </c>
      <c r="F31" s="20" t="str">
        <f t="shared" si="2"/>
        <v>(70, 72, 'Protect', b'1'),</v>
      </c>
    </row>
    <row r="32" spans="1:6" hidden="1" x14ac:dyDescent="0.25">
      <c r="A32" s="8">
        <v>70</v>
      </c>
      <c r="B32" s="3" t="s">
        <v>89</v>
      </c>
      <c r="C32" s="8">
        <f t="shared" si="1"/>
        <v>73</v>
      </c>
      <c r="D32" s="8">
        <v>1</v>
      </c>
      <c r="F32" s="20" t="str">
        <f t="shared" si="2"/>
        <v>(70, 73, 'Detect', b'1'),</v>
      </c>
    </row>
    <row r="33" spans="1:6" hidden="1" x14ac:dyDescent="0.25">
      <c r="A33" s="8">
        <v>70</v>
      </c>
      <c r="B33" s="3" t="s">
        <v>90</v>
      </c>
      <c r="C33" s="8">
        <f t="shared" si="1"/>
        <v>74</v>
      </c>
      <c r="D33" s="8">
        <v>1</v>
      </c>
      <c r="F33" s="20" t="str">
        <f t="shared" si="2"/>
        <v>(70, 74, 'Respond', b'1'),</v>
      </c>
    </row>
    <row r="34" spans="1:6" hidden="1" x14ac:dyDescent="0.25">
      <c r="A34" s="8">
        <v>70</v>
      </c>
      <c r="B34" s="3" t="s">
        <v>91</v>
      </c>
      <c r="C34" s="8">
        <f t="shared" si="1"/>
        <v>75</v>
      </c>
      <c r="D34" s="8">
        <v>1</v>
      </c>
      <c r="F34" s="20" t="str">
        <f t="shared" si="2"/>
        <v>(70, 75, 'Recover', b'1'),</v>
      </c>
    </row>
    <row r="35" spans="1:6" x14ac:dyDescent="0.25">
      <c r="A35" s="8">
        <v>0</v>
      </c>
      <c r="B35" s="4" t="s">
        <v>108</v>
      </c>
      <c r="C35" s="8">
        <v>80</v>
      </c>
      <c r="D35" s="8">
        <v>1</v>
      </c>
      <c r="F35" s="20" t="str">
        <f t="shared" si="2"/>
        <v>(0, 80, 'Security.Domain', b'1'),</v>
      </c>
    </row>
    <row r="36" spans="1:6" hidden="1" x14ac:dyDescent="0.25">
      <c r="A36" s="8">
        <f>A34+10</f>
        <v>80</v>
      </c>
      <c r="B36" s="3" t="s">
        <v>109</v>
      </c>
      <c r="C36" s="8">
        <f t="shared" si="1"/>
        <v>81</v>
      </c>
      <c r="D36" s="8">
        <v>1</v>
      </c>
      <c r="F36" s="20" t="str">
        <f t="shared" si="2"/>
        <v>(80, 81, 'Governance  and  Ecosystem', b'1'),</v>
      </c>
    </row>
    <row r="37" spans="1:6" hidden="1" x14ac:dyDescent="0.25">
      <c r="A37" s="8">
        <v>80</v>
      </c>
      <c r="B37" s="3" t="s">
        <v>110</v>
      </c>
      <c r="C37" s="8">
        <f t="shared" si="1"/>
        <v>82</v>
      </c>
      <c r="D37" s="8">
        <v>1</v>
      </c>
      <c r="F37" s="20" t="str">
        <f t="shared" si="2"/>
        <v>(80, 82, 'Protection', b'1'),</v>
      </c>
    </row>
    <row r="38" spans="1:6" hidden="1" x14ac:dyDescent="0.25">
      <c r="A38" s="8">
        <v>80</v>
      </c>
      <c r="B38" s="3" t="s">
        <v>111</v>
      </c>
      <c r="C38" s="8">
        <f t="shared" si="1"/>
        <v>83</v>
      </c>
      <c r="D38" s="8">
        <v>1</v>
      </c>
      <c r="F38" s="20" t="str">
        <f t="shared" si="2"/>
        <v>(80, 83, 'Defence', b'1'),</v>
      </c>
    </row>
    <row r="39" spans="1:6" hidden="1" x14ac:dyDescent="0.25">
      <c r="A39" s="8">
        <v>80</v>
      </c>
      <c r="B39" s="3" t="s">
        <v>112</v>
      </c>
      <c r="C39" s="8">
        <f t="shared" si="1"/>
        <v>84</v>
      </c>
      <c r="D39" s="8">
        <v>1</v>
      </c>
      <c r="F39" s="20" t="str">
        <f t="shared" si="2"/>
        <v>(80, 84, 'Resilience', b'1'),</v>
      </c>
    </row>
    <row r="40" spans="1:6" x14ac:dyDescent="0.25">
      <c r="A40" s="8">
        <v>0</v>
      </c>
      <c r="B40" s="4" t="s">
        <v>92</v>
      </c>
      <c r="C40" s="8">
        <v>100</v>
      </c>
      <c r="D40" s="8">
        <v>1</v>
      </c>
      <c r="F40" s="20" t="str">
        <f t="shared" si="2"/>
        <v>(0, 100, 'Operational.Capabilities', b'1'),</v>
      </c>
    </row>
    <row r="41" spans="1:6" hidden="1" x14ac:dyDescent="0.25">
      <c r="A41" s="8">
        <v>100</v>
      </c>
      <c r="B41" s="3" t="s">
        <v>93</v>
      </c>
      <c r="C41" s="8">
        <v>101</v>
      </c>
      <c r="D41" s="8">
        <v>1</v>
      </c>
      <c r="F41" s="20" t="str">
        <f t="shared" si="2"/>
        <v>(100, 101, 'Governance', b'1'),</v>
      </c>
    </row>
    <row r="42" spans="1:6" hidden="1" x14ac:dyDescent="0.25">
      <c r="A42" s="8">
        <v>100</v>
      </c>
      <c r="B42" s="3" t="s">
        <v>94</v>
      </c>
      <c r="C42" s="8">
        <v>102</v>
      </c>
      <c r="D42" s="8">
        <v>1</v>
      </c>
      <c r="F42" s="20" t="str">
        <f t="shared" si="2"/>
        <v>(100, 102, 'Asset_management', b'1'),</v>
      </c>
    </row>
    <row r="43" spans="1:6" hidden="1" x14ac:dyDescent="0.25">
      <c r="A43" s="8">
        <v>100</v>
      </c>
      <c r="B43" s="3" t="s">
        <v>95</v>
      </c>
      <c r="C43" s="8">
        <v>103</v>
      </c>
      <c r="D43" s="8">
        <v>1</v>
      </c>
      <c r="F43" s="20" t="str">
        <f t="shared" si="2"/>
        <v>(100, 103, 'Information_protection', b'1'),</v>
      </c>
    </row>
    <row r="44" spans="1:6" hidden="1" x14ac:dyDescent="0.25">
      <c r="A44" s="8">
        <v>100</v>
      </c>
      <c r="B44" s="3" t="s">
        <v>96</v>
      </c>
      <c r="C44" s="8">
        <v>104</v>
      </c>
      <c r="D44" s="8">
        <v>1</v>
      </c>
      <c r="F44" s="20" t="str">
        <f t="shared" si="2"/>
        <v>(100, 104, 'Human_resource_security', b'1'),</v>
      </c>
    </row>
    <row r="45" spans="1:6" hidden="1" x14ac:dyDescent="0.25">
      <c r="A45" s="8">
        <v>100</v>
      </c>
      <c r="B45" s="3" t="s">
        <v>97</v>
      </c>
      <c r="C45" s="8">
        <v>105</v>
      </c>
      <c r="D45" s="8">
        <v>1</v>
      </c>
      <c r="F45" s="20" t="str">
        <f t="shared" si="2"/>
        <v>(100, 105, 'Physical_security', b'1'),</v>
      </c>
    </row>
    <row r="46" spans="1:6" hidden="1" x14ac:dyDescent="0.25">
      <c r="A46" s="8">
        <v>100</v>
      </c>
      <c r="B46" s="3" t="s">
        <v>98</v>
      </c>
      <c r="C46" s="8">
        <v>106</v>
      </c>
      <c r="D46" s="8">
        <v>1</v>
      </c>
      <c r="F46" s="20" t="str">
        <f t="shared" si="2"/>
        <v>(100, 106, 'System_and_network_security', b'1'),</v>
      </c>
    </row>
    <row r="47" spans="1:6" hidden="1" x14ac:dyDescent="0.25">
      <c r="A47" s="8">
        <v>100</v>
      </c>
      <c r="B47" s="3" t="s">
        <v>99</v>
      </c>
      <c r="C47" s="8">
        <v>107</v>
      </c>
      <c r="D47" s="8">
        <v>1</v>
      </c>
      <c r="F47" s="20" t="str">
        <f t="shared" si="2"/>
        <v>(100, 107, 'Application_security', b'1'),</v>
      </c>
    </row>
    <row r="48" spans="1:6" hidden="1" x14ac:dyDescent="0.25">
      <c r="A48" s="8">
        <v>100</v>
      </c>
      <c r="B48" s="3" t="s">
        <v>100</v>
      </c>
      <c r="C48" s="8">
        <v>108</v>
      </c>
      <c r="D48" s="8">
        <v>1</v>
      </c>
      <c r="F48" s="20" t="str">
        <f t="shared" si="2"/>
        <v>(100, 108, 'Secure_configuration', b'1'),</v>
      </c>
    </row>
    <row r="49" spans="1:6" hidden="1" x14ac:dyDescent="0.25">
      <c r="A49" s="8">
        <v>100</v>
      </c>
      <c r="B49" s="3" t="s">
        <v>101</v>
      </c>
      <c r="C49" s="8">
        <v>109</v>
      </c>
      <c r="D49" s="8">
        <v>1</v>
      </c>
      <c r="F49" s="20" t="str">
        <f t="shared" si="2"/>
        <v>(100, 109, 'Identity_and_access_management', b'1'),</v>
      </c>
    </row>
    <row r="50" spans="1:6" hidden="1" x14ac:dyDescent="0.25">
      <c r="A50" s="8">
        <v>100</v>
      </c>
      <c r="B50" s="3" t="s">
        <v>102</v>
      </c>
      <c r="C50" s="8">
        <v>110</v>
      </c>
      <c r="D50" s="8">
        <v>1</v>
      </c>
      <c r="F50" s="20" t="str">
        <f t="shared" si="2"/>
        <v>(100, 110, 'Threat_and_vulnerability_management', b'1'),</v>
      </c>
    </row>
    <row r="51" spans="1:6" hidden="1" x14ac:dyDescent="0.25">
      <c r="A51" s="8">
        <v>100</v>
      </c>
      <c r="B51" s="6" t="s">
        <v>103</v>
      </c>
      <c r="C51" s="8">
        <v>111</v>
      </c>
      <c r="D51" s="8">
        <v>1</v>
      </c>
      <c r="F51" s="20" t="str">
        <f t="shared" si="2"/>
        <v>(100, 111, 'Continuity', b'1'),</v>
      </c>
    </row>
    <row r="52" spans="1:6" hidden="1" x14ac:dyDescent="0.25">
      <c r="A52" s="8">
        <v>100</v>
      </c>
      <c r="B52" s="3" t="s">
        <v>104</v>
      </c>
      <c r="C52" s="8">
        <v>112</v>
      </c>
      <c r="D52" s="8">
        <v>1</v>
      </c>
      <c r="F52" s="20" t="str">
        <f t="shared" si="2"/>
        <v>(100, 112, 'Supplier_relationships_security', b'1'),</v>
      </c>
    </row>
    <row r="53" spans="1:6" hidden="1" x14ac:dyDescent="0.25">
      <c r="A53" s="8">
        <v>100</v>
      </c>
      <c r="B53" s="3" t="s">
        <v>105</v>
      </c>
      <c r="C53" s="8">
        <v>113</v>
      </c>
      <c r="D53" s="8">
        <v>1</v>
      </c>
      <c r="F53" s="20" t="str">
        <f t="shared" si="2"/>
        <v>(100, 113, 'Legal_and_compliance', b'1'),</v>
      </c>
    </row>
    <row r="54" spans="1:6" hidden="1" x14ac:dyDescent="0.25">
      <c r="A54" s="8">
        <v>100</v>
      </c>
      <c r="B54" s="3" t="s">
        <v>106</v>
      </c>
      <c r="C54" s="8">
        <v>114</v>
      </c>
      <c r="D54" s="8">
        <v>1</v>
      </c>
      <c r="F54" s="20" t="str">
        <f t="shared" si="2"/>
        <v>(100, 114, 'Information_security_event_management', b'1'),</v>
      </c>
    </row>
    <row r="55" spans="1:6" hidden="1" x14ac:dyDescent="0.25">
      <c r="A55" s="8">
        <v>100</v>
      </c>
      <c r="B55" s="3" t="s">
        <v>107</v>
      </c>
      <c r="C55" s="8">
        <v>115</v>
      </c>
      <c r="D55" s="8">
        <v>1</v>
      </c>
      <c r="F55" s="20" t="str">
        <f t="shared" si="2"/>
        <v>(100, 115, 'Information_security_assurance', b'1'),</v>
      </c>
    </row>
  </sheetData>
  <autoFilter ref="A1:B55" xr:uid="{AD08FBCA-206E-41A1-8589-5F1F7EE43364}">
    <filterColumn colId="0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2D13-E49C-4722-B95C-7C570167AB5F}">
  <dimension ref="A1:M95"/>
  <sheetViews>
    <sheetView zoomScaleNormal="100" workbookViewId="0">
      <pane xSplit="2" ySplit="2" topLeftCell="C62" activePane="bottomRight" state="frozen"/>
      <selection pane="topRight" activeCell="B1" sqref="B1"/>
      <selection pane="bottomLeft" activeCell="A3" sqref="A3"/>
      <selection pane="bottomRight" activeCell="M1" sqref="M1:M95"/>
    </sheetView>
  </sheetViews>
  <sheetFormatPr defaultRowHeight="15" x14ac:dyDescent="0.25"/>
  <cols>
    <col min="1" max="2" width="6.7109375" style="12" customWidth="1"/>
    <col min="3" max="3" width="32.85546875" customWidth="1"/>
    <col min="4" max="4" width="15.5703125" customWidth="1"/>
    <col min="5" max="5" width="7.42578125" style="16" customWidth="1"/>
    <col min="6" max="6" width="9.140625" style="23"/>
    <col min="9" max="9" width="11.28515625" customWidth="1"/>
    <col min="10" max="10" width="11.7109375" customWidth="1"/>
    <col min="13" max="13" width="9.140625" style="20"/>
  </cols>
  <sheetData>
    <row r="1" spans="1:13" x14ac:dyDescent="0.25">
      <c r="A1" s="7" t="s">
        <v>121</v>
      </c>
      <c r="B1" s="26" t="s">
        <v>122</v>
      </c>
      <c r="C1" s="27"/>
      <c r="M1" s="21" t="s">
        <v>317</v>
      </c>
    </row>
    <row r="2" spans="1:13" x14ac:dyDescent="0.25">
      <c r="A2" s="11" t="s">
        <v>124</v>
      </c>
      <c r="B2" s="11" t="s">
        <v>316</v>
      </c>
      <c r="C2" s="10" t="s">
        <v>314</v>
      </c>
      <c r="D2" s="10" t="s">
        <v>318</v>
      </c>
      <c r="E2" s="17" t="s">
        <v>124</v>
      </c>
      <c r="F2" s="24" t="s">
        <v>78</v>
      </c>
      <c r="G2" s="10" t="s">
        <v>114</v>
      </c>
      <c r="H2" s="10" t="s">
        <v>115</v>
      </c>
      <c r="I2" s="10" t="s">
        <v>116</v>
      </c>
      <c r="J2" s="10" t="s">
        <v>117</v>
      </c>
      <c r="K2" s="14" t="s">
        <v>130</v>
      </c>
      <c r="M2" s="21" t="s">
        <v>319</v>
      </c>
    </row>
    <row r="3" spans="1:13" x14ac:dyDescent="0.25">
      <c r="A3" s="13">
        <v>1</v>
      </c>
      <c r="B3" s="13" t="s">
        <v>140</v>
      </c>
      <c r="C3" s="3" t="s">
        <v>127</v>
      </c>
      <c r="D3" s="3" t="s">
        <v>68</v>
      </c>
      <c r="E3" s="18">
        <f>VLOOKUP(D3,Enums!$B$2:$C$55, 2,FALSE)</f>
        <v>11</v>
      </c>
      <c r="F3" s="25" t="s">
        <v>123</v>
      </c>
      <c r="G3" s="22" t="s">
        <v>320</v>
      </c>
      <c r="H3" s="22" t="s">
        <v>87</v>
      </c>
      <c r="I3" s="22" t="s">
        <v>93</v>
      </c>
      <c r="J3" s="22" t="s">
        <v>361</v>
      </c>
      <c r="K3" s="3" t="b">
        <v>1</v>
      </c>
      <c r="M3" s="20" t="str">
        <f>_xlfn.CONCAT("('",B3,"', '",C3,"', ",E3,", JSON_ARRAY('",F3,"'), JSON_ARRAY('",G3,"'), JSON_ARRAY('",H3,"'), JSON_ARRAY('",I3,"'), JSON_ARRAY('",J3,"'), b'1'),")</f>
        <v>('5.1', 'Policies for information security', 11, JSON_ARRAY('Preventive'), JSON_ARRAY('Confidentiality, Integrity, Availability'), JSON_ARRAY('Identify'), JSON_ARRAY('Governance'), JSON_ARRAY('Governance_and_Ecosystem,Resilience'), b'1'),</v>
      </c>
    </row>
    <row r="4" spans="1:13" x14ac:dyDescent="0.25">
      <c r="A4" s="13">
        <v>2</v>
      </c>
      <c r="B4" s="13" t="s">
        <v>141</v>
      </c>
      <c r="C4" s="3" t="s">
        <v>128</v>
      </c>
      <c r="D4" s="3" t="s">
        <v>68</v>
      </c>
      <c r="E4" s="18">
        <f>VLOOKUP(D4,Enums!$B$2:$C$55, 2,FALSE)</f>
        <v>11</v>
      </c>
      <c r="F4" s="25" t="s">
        <v>123</v>
      </c>
      <c r="G4" s="3" t="s">
        <v>320</v>
      </c>
      <c r="H4" s="3" t="s">
        <v>87</v>
      </c>
      <c r="I4" s="3" t="s">
        <v>93</v>
      </c>
      <c r="J4" s="3" t="s">
        <v>362</v>
      </c>
      <c r="K4" s="3" t="b">
        <v>1</v>
      </c>
      <c r="M4" s="20" t="str">
        <f t="shared" ref="M4:M67" si="0">_xlfn.CONCAT("('",B4,"', '",C4,"', ",E4,", JSON_ARRAY('",F4,"'), JSON_ARRAY('",G4,"'), JSON_ARRAY('",H4,"'), JSON_ARRAY('",I4,"'), JSON_ARRAY('",J4,"'), b'1'),")</f>
        <v>('5.2', 'Information security roles and responsibilities', 11, JSON_ARRAY('Preventive'), JSON_ARRAY('Confidentiality, Integrity, Availability'), JSON_ARRAY('Identify'), JSON_ARRAY('Governance'), JSON_ARRAY('Governance_and_Ecosystem,Protection,Resilience'), b'1'),</v>
      </c>
    </row>
    <row r="5" spans="1:13" x14ac:dyDescent="0.25">
      <c r="A5" s="13">
        <v>3</v>
      </c>
      <c r="B5" s="13" t="s">
        <v>142</v>
      </c>
      <c r="C5" s="3" t="s">
        <v>129</v>
      </c>
      <c r="D5" s="3" t="s">
        <v>68</v>
      </c>
      <c r="E5" s="18">
        <f>VLOOKUP(D5,Enums!$B$2:$C$55, 2,FALSE)</f>
        <v>11</v>
      </c>
      <c r="F5" s="25" t="s">
        <v>123</v>
      </c>
      <c r="G5" s="3" t="s">
        <v>320</v>
      </c>
      <c r="H5" s="3" t="s">
        <v>88</v>
      </c>
      <c r="I5" s="3" t="s">
        <v>341</v>
      </c>
      <c r="J5" s="3" t="s">
        <v>93</v>
      </c>
      <c r="K5" s="3" t="b">
        <v>1</v>
      </c>
      <c r="M5" s="20" t="str">
        <f t="shared" si="0"/>
        <v>('5.3', 'Segregation of duties', 11, JSON_ARRAY('Preventive'), JSON_ARRAY('Confidentiality, Integrity, Availability'), JSON_ARRAY('Protect'), JSON_ARRAY('Governance,Identity_and_access_management'), JSON_ARRAY('Governance'), b'1'),</v>
      </c>
    </row>
    <row r="6" spans="1:13" x14ac:dyDescent="0.25">
      <c r="A6" s="13">
        <v>4</v>
      </c>
      <c r="B6" s="13" t="s">
        <v>143</v>
      </c>
      <c r="C6" s="3" t="s">
        <v>131</v>
      </c>
      <c r="D6" s="3" t="s">
        <v>68</v>
      </c>
      <c r="E6" s="18">
        <f>VLOOKUP(D6,Enums!$B$2:$C$55, 2,FALSE)</f>
        <v>11</v>
      </c>
      <c r="F6" s="25" t="s">
        <v>123</v>
      </c>
      <c r="G6" s="3" t="s">
        <v>320</v>
      </c>
      <c r="H6" s="3" t="s">
        <v>87</v>
      </c>
      <c r="I6" s="3" t="s">
        <v>93</v>
      </c>
      <c r="J6" s="3" t="s">
        <v>325</v>
      </c>
      <c r="K6" s="3" t="b">
        <v>1</v>
      </c>
      <c r="M6" s="20" t="str">
        <f t="shared" si="0"/>
        <v>('5.4', 'Management responsibilities', 11, JSON_ARRAY('Preventive'), JSON_ARRAY('Confidentiality, Integrity, Availability'), JSON_ARRAY('Identify'), JSON_ARRAY('Governance'), JSON_ARRAY('Governance_and_Ecosystem'), b'1'),</v>
      </c>
    </row>
    <row r="7" spans="1:13" x14ac:dyDescent="0.25">
      <c r="A7" s="13">
        <v>5</v>
      </c>
      <c r="B7" s="13" t="s">
        <v>144</v>
      </c>
      <c r="C7" s="3" t="s">
        <v>132</v>
      </c>
      <c r="D7" s="3" t="s">
        <v>68</v>
      </c>
      <c r="E7" s="18">
        <f>VLOOKUP(D7,Enums!$B$2:$C$55, 2,FALSE)</f>
        <v>11</v>
      </c>
      <c r="F7" s="25" t="s">
        <v>337</v>
      </c>
      <c r="G7" s="3" t="s">
        <v>320</v>
      </c>
      <c r="H7" s="3" t="s">
        <v>326</v>
      </c>
      <c r="I7" s="3" t="s">
        <v>93</v>
      </c>
      <c r="J7" s="3" t="s">
        <v>363</v>
      </c>
      <c r="K7" s="3" t="b">
        <v>1</v>
      </c>
      <c r="M7" s="20" t="str">
        <f t="shared" si="0"/>
        <v>('5.5', 'Contact with authorities', 11, JSON_ARRAY('Preventive,Corrective'), JSON_ARRAY('Confidentiality, Integrity, Availability'), JSON_ARRAY('Identify,Protect,Respond,Recover'), JSON_ARRAY('Governance'), JSON_ARRAY('Defence,Resilience'), b'1'),</v>
      </c>
    </row>
    <row r="8" spans="1:13" x14ac:dyDescent="0.25">
      <c r="A8" s="13">
        <v>6</v>
      </c>
      <c r="B8" s="13" t="s">
        <v>145</v>
      </c>
      <c r="C8" s="3" t="s">
        <v>133</v>
      </c>
      <c r="D8" s="3" t="s">
        <v>68</v>
      </c>
      <c r="E8" s="18">
        <f>VLOOKUP(D8,Enums!$B$2:$C$55, 2,FALSE)</f>
        <v>11</v>
      </c>
      <c r="F8" s="25" t="s">
        <v>337</v>
      </c>
      <c r="G8" s="3" t="s">
        <v>320</v>
      </c>
      <c r="H8" s="3" t="s">
        <v>327</v>
      </c>
      <c r="I8" s="3" t="s">
        <v>93</v>
      </c>
      <c r="J8" s="3" t="s">
        <v>111</v>
      </c>
      <c r="K8" s="3" t="b">
        <v>1</v>
      </c>
      <c r="M8" s="20" t="str">
        <f t="shared" si="0"/>
        <v>('5.6', 'Contact with special interest groups', 11, JSON_ARRAY('Preventive,Corrective'), JSON_ARRAY('Confidentiality, Integrity, Availability'), JSON_ARRAY('Protect,Respond,Recover'), JSON_ARRAY('Governance'), JSON_ARRAY('Defence'), b'1'),</v>
      </c>
    </row>
    <row r="9" spans="1:13" x14ac:dyDescent="0.25">
      <c r="A9" s="13">
        <v>7</v>
      </c>
      <c r="B9" s="13" t="s">
        <v>146</v>
      </c>
      <c r="C9" s="3" t="s">
        <v>134</v>
      </c>
      <c r="D9" s="3" t="s">
        <v>68</v>
      </c>
      <c r="E9" s="18">
        <f>VLOOKUP(D9,Enums!$B$2:$C$55, 2,FALSE)</f>
        <v>11</v>
      </c>
      <c r="F9" s="25" t="s">
        <v>338</v>
      </c>
      <c r="G9" s="3" t="s">
        <v>320</v>
      </c>
      <c r="H9" s="3" t="s">
        <v>328</v>
      </c>
      <c r="I9" s="3" t="s">
        <v>102</v>
      </c>
      <c r="J9" s="3" t="s">
        <v>363</v>
      </c>
      <c r="K9" s="3" t="b">
        <v>1</v>
      </c>
      <c r="M9" s="20" t="str">
        <f t="shared" si="0"/>
        <v>('5.7', 'Threat intelligence', 11, JSON_ARRAY('Preventive,Detective,Corrective'), JSON_ARRAY('Confidentiality, Integrity, Availability'), JSON_ARRAY('Identify,Detect,Respond'), JSON_ARRAY('Threat_and_vulnerability_management'), JSON_ARRAY('Defence,Resilience'), b'1'),</v>
      </c>
    </row>
    <row r="10" spans="1:13" x14ac:dyDescent="0.25">
      <c r="A10" s="13">
        <v>8</v>
      </c>
      <c r="B10" s="13" t="s">
        <v>147</v>
      </c>
      <c r="C10" s="3" t="s">
        <v>135</v>
      </c>
      <c r="D10" s="3" t="s">
        <v>68</v>
      </c>
      <c r="E10" s="18">
        <f>VLOOKUP(D10,Enums!$B$2:$C$55, 2,FALSE)</f>
        <v>11</v>
      </c>
      <c r="F10" s="25" t="s">
        <v>123</v>
      </c>
      <c r="G10" s="3" t="s">
        <v>320</v>
      </c>
      <c r="H10" s="3" t="s">
        <v>329</v>
      </c>
      <c r="I10" s="3" t="s">
        <v>93</v>
      </c>
      <c r="J10" s="3" t="s">
        <v>364</v>
      </c>
      <c r="K10" s="3" t="b">
        <v>1</v>
      </c>
      <c r="M10" s="20" t="str">
        <f t="shared" si="0"/>
        <v>('5.8', 'Information security in project management', 11, JSON_ARRAY('Preventive'), JSON_ARRAY('Confidentiality, Integrity, Availability'), JSON_ARRAY('Identify,Protect'), JSON_ARRAY('Governance'), JSON_ARRAY('Governance_and_EcosystemProtection'), b'1'),</v>
      </c>
    </row>
    <row r="11" spans="1:13" x14ac:dyDescent="0.25">
      <c r="A11" s="13">
        <v>9</v>
      </c>
      <c r="B11" s="13" t="s">
        <v>148</v>
      </c>
      <c r="C11" s="3" t="s">
        <v>136</v>
      </c>
      <c r="D11" s="3" t="s">
        <v>68</v>
      </c>
      <c r="E11" s="18">
        <f>VLOOKUP(D11,Enums!$B$2:$C$55, 2,FALSE)</f>
        <v>11</v>
      </c>
      <c r="F11" s="25" t="s">
        <v>123</v>
      </c>
      <c r="G11" s="3" t="s">
        <v>320</v>
      </c>
      <c r="H11" s="3" t="s">
        <v>87</v>
      </c>
      <c r="I11" s="3" t="s">
        <v>94</v>
      </c>
      <c r="J11" s="3" t="s">
        <v>365</v>
      </c>
      <c r="K11" s="3" t="b">
        <v>1</v>
      </c>
      <c r="M11" s="20" t="str">
        <f t="shared" si="0"/>
        <v>('5.9', 'Inventory of information and other associated assets', 11, JSON_ARRAY('Preventive'), JSON_ARRAY('Confidentiality, Integrity, Availability'), JSON_ARRAY('Identify'), JSON_ARRAY('Asset_management'), JSON_ARRAY('Governance_and_Ecosystem,Protection'), b'1'),</v>
      </c>
    </row>
    <row r="12" spans="1:13" x14ac:dyDescent="0.25">
      <c r="A12" s="13">
        <v>10</v>
      </c>
      <c r="B12" s="13" t="s">
        <v>149</v>
      </c>
      <c r="C12" s="3" t="s">
        <v>137</v>
      </c>
      <c r="D12" s="3" t="s">
        <v>68</v>
      </c>
      <c r="E12" s="18">
        <f>VLOOKUP(D12,Enums!$B$2:$C$55, 2,FALSE)</f>
        <v>11</v>
      </c>
      <c r="F12" s="25" t="s">
        <v>123</v>
      </c>
      <c r="G12" s="3" t="s">
        <v>320</v>
      </c>
      <c r="H12" s="3" t="s">
        <v>88</v>
      </c>
      <c r="I12" s="3" t="s">
        <v>342</v>
      </c>
      <c r="J12" s="3" t="s">
        <v>365</v>
      </c>
      <c r="K12" s="3" t="b">
        <v>1</v>
      </c>
      <c r="M12" s="20" t="str">
        <f t="shared" si="0"/>
        <v>('5.10', 'Acceptable use of information and other associated assets', 11, JSON_ARRAY('Preventive'), JSON_ARRAY('Confidentiality, Integrity, Availability'), JSON_ARRAY('Protect'), JSON_ARRAY('Asset_management,Information_protection'), JSON_ARRAY('Governance_and_Ecosystem,Protection'), b'1'),</v>
      </c>
    </row>
    <row r="13" spans="1:13" x14ac:dyDescent="0.25">
      <c r="A13" s="13">
        <v>11</v>
      </c>
      <c r="B13" s="13" t="s">
        <v>150</v>
      </c>
      <c r="C13" s="3" t="s">
        <v>138</v>
      </c>
      <c r="D13" s="3" t="s">
        <v>68</v>
      </c>
      <c r="E13" s="18">
        <f>VLOOKUP(D13,Enums!$B$2:$C$55, 2,FALSE)</f>
        <v>11</v>
      </c>
      <c r="F13" s="25" t="s">
        <v>123</v>
      </c>
      <c r="G13" s="3" t="s">
        <v>320</v>
      </c>
      <c r="H13" s="3" t="s">
        <v>88</v>
      </c>
      <c r="I13" s="3" t="s">
        <v>94</v>
      </c>
      <c r="J13" s="3" t="s">
        <v>110</v>
      </c>
      <c r="K13" s="3" t="b">
        <v>1</v>
      </c>
      <c r="M13" s="20" t="str">
        <f t="shared" si="0"/>
        <v>('5.11', 'Return of assets', 11, JSON_ARRAY('Preventive'), JSON_ARRAY('Confidentiality, Integrity, Availability'), JSON_ARRAY('Protect'), JSON_ARRAY('Asset_management'), JSON_ARRAY('Protection'), b'1'),</v>
      </c>
    </row>
    <row r="14" spans="1:13" x14ac:dyDescent="0.25">
      <c r="A14" s="13">
        <v>12</v>
      </c>
      <c r="B14" s="13" t="s">
        <v>151</v>
      </c>
      <c r="C14" s="3" t="s">
        <v>139</v>
      </c>
      <c r="D14" s="3" t="s">
        <v>68</v>
      </c>
      <c r="E14" s="18">
        <f>VLOOKUP(D14,Enums!$B$2:$C$55, 2,FALSE)</f>
        <v>11</v>
      </c>
      <c r="F14" s="25" t="s">
        <v>123</v>
      </c>
      <c r="G14" s="3" t="s">
        <v>320</v>
      </c>
      <c r="H14" s="3" t="s">
        <v>87</v>
      </c>
      <c r="I14" s="3" t="s">
        <v>95</v>
      </c>
      <c r="J14" s="3" t="s">
        <v>366</v>
      </c>
      <c r="K14" s="3" t="b">
        <v>1</v>
      </c>
      <c r="M14" s="20" t="str">
        <f t="shared" si="0"/>
        <v>('5.12', 'Classification of information', 11, JSON_ARRAY('Preventive'), JSON_ARRAY('Confidentiality, Integrity, Availability'), JSON_ARRAY('Identify'), JSON_ARRAY('Information_protection'), JSON_ARRAY('Protection,Defence'), b'1'),</v>
      </c>
    </row>
    <row r="15" spans="1:13" x14ac:dyDescent="0.25">
      <c r="A15" s="13">
        <v>13</v>
      </c>
      <c r="B15" s="13" t="s">
        <v>153</v>
      </c>
      <c r="C15" s="3" t="s">
        <v>152</v>
      </c>
      <c r="D15" s="3" t="s">
        <v>68</v>
      </c>
      <c r="E15" s="18">
        <f>VLOOKUP(D15,Enums!$B$2:$C$55, 2,FALSE)</f>
        <v>11</v>
      </c>
      <c r="F15" s="25" t="s">
        <v>123</v>
      </c>
      <c r="G15" s="3" t="s">
        <v>320</v>
      </c>
      <c r="H15" s="3" t="s">
        <v>88</v>
      </c>
      <c r="I15" s="3" t="s">
        <v>95</v>
      </c>
      <c r="J15" s="3" t="s">
        <v>366</v>
      </c>
      <c r="K15" s="3" t="b">
        <v>1</v>
      </c>
      <c r="M15" s="20" t="str">
        <f t="shared" si="0"/>
        <v>('5.13', 'Labelling of information', 11, JSON_ARRAY('Preventive'), JSON_ARRAY('Confidentiality, Integrity, Availability'), JSON_ARRAY('Protect'), JSON_ARRAY('Information_protection'), JSON_ARRAY('Protection,Defence'), b'1'),</v>
      </c>
    </row>
    <row r="16" spans="1:13" x14ac:dyDescent="0.25">
      <c r="A16" s="13">
        <v>14</v>
      </c>
      <c r="B16" s="13" t="s">
        <v>154</v>
      </c>
      <c r="C16" s="3" t="s">
        <v>157</v>
      </c>
      <c r="D16" s="3" t="s">
        <v>68</v>
      </c>
      <c r="E16" s="18">
        <f>VLOOKUP(D16,Enums!$B$2:$C$55, 2,FALSE)</f>
        <v>11</v>
      </c>
      <c r="F16" s="25" t="s">
        <v>123</v>
      </c>
      <c r="G16" s="3" t="s">
        <v>320</v>
      </c>
      <c r="H16" s="3" t="s">
        <v>88</v>
      </c>
      <c r="I16" s="3" t="s">
        <v>342</v>
      </c>
      <c r="J16" s="3" t="s">
        <v>110</v>
      </c>
      <c r="K16" s="3" t="b">
        <v>1</v>
      </c>
      <c r="M16" s="20" t="str">
        <f t="shared" si="0"/>
        <v>('5.14', 'Information transfer', 11, JSON_ARRAY('Preventive'), JSON_ARRAY('Confidentiality, Integrity, Availability'), JSON_ARRAY('Protect'), JSON_ARRAY('Asset_management,Information_protection'), JSON_ARRAY('Protection'), b'1'),</v>
      </c>
    </row>
    <row r="17" spans="1:13" x14ac:dyDescent="0.25">
      <c r="A17" s="13">
        <v>15</v>
      </c>
      <c r="B17" s="13" t="s">
        <v>155</v>
      </c>
      <c r="C17" s="3" t="s">
        <v>158</v>
      </c>
      <c r="D17" s="3" t="s">
        <v>68</v>
      </c>
      <c r="E17" s="18">
        <f>VLOOKUP(D17,Enums!$B$2:$C$55, 2,FALSE)</f>
        <v>11</v>
      </c>
      <c r="F17" s="25" t="s">
        <v>123</v>
      </c>
      <c r="G17" s="3" t="s">
        <v>320</v>
      </c>
      <c r="H17" s="3" t="s">
        <v>88</v>
      </c>
      <c r="I17" s="3" t="s">
        <v>101</v>
      </c>
      <c r="J17" s="3" t="s">
        <v>110</v>
      </c>
      <c r="K17" s="3" t="b">
        <v>1</v>
      </c>
      <c r="M17" s="20" t="str">
        <f t="shared" si="0"/>
        <v>('5.15', 'Access control', 11, JSON_ARRAY('Preventive'), JSON_ARRAY('Confidentiality, Integrity, Availability'), JSON_ARRAY('Protect'), JSON_ARRAY('Identity_and_access_management'), JSON_ARRAY('Protection'), b'1'),</v>
      </c>
    </row>
    <row r="18" spans="1:13" x14ac:dyDescent="0.25">
      <c r="A18" s="13">
        <v>16</v>
      </c>
      <c r="B18" s="13" t="s">
        <v>156</v>
      </c>
      <c r="C18" s="3" t="s">
        <v>159</v>
      </c>
      <c r="D18" s="3" t="s">
        <v>68</v>
      </c>
      <c r="E18" s="18">
        <f>VLOOKUP(D18,Enums!$B$2:$C$55, 2,FALSE)</f>
        <v>11</v>
      </c>
      <c r="F18" s="25" t="s">
        <v>123</v>
      </c>
      <c r="G18" s="3" t="s">
        <v>320</v>
      </c>
      <c r="H18" s="3" t="s">
        <v>88</v>
      </c>
      <c r="I18" s="3" t="s">
        <v>101</v>
      </c>
      <c r="J18" s="3" t="s">
        <v>110</v>
      </c>
      <c r="K18" s="3" t="b">
        <v>1</v>
      </c>
      <c r="M18" s="20" t="str">
        <f t="shared" si="0"/>
        <v>('5.16', 'Identity management', 11, JSON_ARRAY('Preventive'), JSON_ARRAY('Confidentiality, Integrity, Availability'), JSON_ARRAY('Protect'), JSON_ARRAY('Identity_and_access_management'), JSON_ARRAY('Protection'), b'1'),</v>
      </c>
    </row>
    <row r="19" spans="1:13" x14ac:dyDescent="0.25">
      <c r="A19" s="13">
        <v>17</v>
      </c>
      <c r="B19" s="13" t="s">
        <v>161</v>
      </c>
      <c r="C19" s="3" t="s">
        <v>160</v>
      </c>
      <c r="D19" s="3" t="s">
        <v>68</v>
      </c>
      <c r="E19" s="18">
        <f>VLOOKUP(D19,Enums!$B$2:$C$55, 2,FALSE)</f>
        <v>11</v>
      </c>
      <c r="F19" s="25" t="s">
        <v>123</v>
      </c>
      <c r="G19" s="3" t="s">
        <v>320</v>
      </c>
      <c r="H19" s="3" t="s">
        <v>88</v>
      </c>
      <c r="I19" s="3" t="s">
        <v>101</v>
      </c>
      <c r="J19" s="3" t="s">
        <v>110</v>
      </c>
      <c r="K19" s="3" t="b">
        <v>1</v>
      </c>
      <c r="M19" s="20" t="str">
        <f t="shared" si="0"/>
        <v>('5.17', 'Authentication information', 11, JSON_ARRAY('Preventive'), JSON_ARRAY('Confidentiality, Integrity, Availability'), JSON_ARRAY('Protect'), JSON_ARRAY('Identity_and_access_management'), JSON_ARRAY('Protection'), b'1'),</v>
      </c>
    </row>
    <row r="20" spans="1:13" x14ac:dyDescent="0.25">
      <c r="A20" s="13">
        <v>18</v>
      </c>
      <c r="B20" s="13" t="s">
        <v>164</v>
      </c>
      <c r="C20" s="3" t="s">
        <v>162</v>
      </c>
      <c r="D20" s="3" t="s">
        <v>68</v>
      </c>
      <c r="E20" s="18">
        <f>VLOOKUP(D20,Enums!$B$2:$C$55, 2,FALSE)</f>
        <v>11</v>
      </c>
      <c r="F20" s="25" t="s">
        <v>123</v>
      </c>
      <c r="G20" s="3" t="s">
        <v>320</v>
      </c>
      <c r="H20" s="3" t="s">
        <v>88</v>
      </c>
      <c r="I20" s="3" t="s">
        <v>101</v>
      </c>
      <c r="J20" s="3" t="s">
        <v>110</v>
      </c>
      <c r="K20" s="3" t="b">
        <v>1</v>
      </c>
      <c r="M20" s="20" t="str">
        <f t="shared" si="0"/>
        <v>('5.18', 'Access rights', 11, JSON_ARRAY('Preventive'), JSON_ARRAY('Confidentiality, Integrity, Availability'), JSON_ARRAY('Protect'), JSON_ARRAY('Identity_and_access_management'), JSON_ARRAY('Protection'), b'1'),</v>
      </c>
    </row>
    <row r="21" spans="1:13" x14ac:dyDescent="0.25">
      <c r="A21" s="13">
        <v>19</v>
      </c>
      <c r="B21" s="13" t="s">
        <v>165</v>
      </c>
      <c r="C21" s="3" t="s">
        <v>163</v>
      </c>
      <c r="D21" s="3" t="s">
        <v>68</v>
      </c>
      <c r="E21" s="18">
        <f>VLOOKUP(D21,Enums!$B$2:$C$55, 2,FALSE)</f>
        <v>11</v>
      </c>
      <c r="F21" s="25" t="s">
        <v>123</v>
      </c>
      <c r="G21" s="3" t="s">
        <v>320</v>
      </c>
      <c r="H21" s="3" t="s">
        <v>87</v>
      </c>
      <c r="I21" s="3" t="s">
        <v>104</v>
      </c>
      <c r="J21" s="3" t="s">
        <v>365</v>
      </c>
      <c r="K21" s="3" t="b">
        <v>1</v>
      </c>
      <c r="M21" s="20" t="str">
        <f t="shared" si="0"/>
        <v>('5.19', 'Information security in supplier relationships', 11, JSON_ARRAY('Preventive'), JSON_ARRAY('Confidentiality, Integrity, Availability'), JSON_ARRAY('Identify'), JSON_ARRAY('Supplier_relationships_security'), JSON_ARRAY('Governance_and_Ecosystem,Protection'), b'1'),</v>
      </c>
    </row>
    <row r="22" spans="1:13" x14ac:dyDescent="0.25">
      <c r="A22" s="13">
        <v>20</v>
      </c>
      <c r="B22" s="13" t="s">
        <v>168</v>
      </c>
      <c r="C22" s="3" t="s">
        <v>166</v>
      </c>
      <c r="D22" s="3" t="s">
        <v>68</v>
      </c>
      <c r="E22" s="18">
        <f>VLOOKUP(D22,Enums!$B$2:$C$55, 2,FALSE)</f>
        <v>11</v>
      </c>
      <c r="F22" s="25" t="s">
        <v>123</v>
      </c>
      <c r="G22" s="3" t="s">
        <v>320</v>
      </c>
      <c r="H22" s="3" t="s">
        <v>87</v>
      </c>
      <c r="I22" s="3" t="s">
        <v>104</v>
      </c>
      <c r="J22" s="3" t="s">
        <v>365</v>
      </c>
      <c r="K22" s="3" t="b">
        <v>1</v>
      </c>
      <c r="M22" s="20" t="str">
        <f t="shared" si="0"/>
        <v>('5.20', 'Addressing information security within supplier agreements', 11, JSON_ARRAY('Preventive'), JSON_ARRAY('Confidentiality, Integrity, Availability'), JSON_ARRAY('Identify'), JSON_ARRAY('Supplier_relationships_security'), JSON_ARRAY('Governance_and_Ecosystem,Protection'), b'1'),</v>
      </c>
    </row>
    <row r="23" spans="1:13" x14ac:dyDescent="0.25">
      <c r="A23" s="13">
        <v>21</v>
      </c>
      <c r="B23" s="13" t="s">
        <v>169</v>
      </c>
      <c r="C23" s="3" t="s">
        <v>167</v>
      </c>
      <c r="D23" s="3" t="s">
        <v>68</v>
      </c>
      <c r="E23" s="18">
        <f>VLOOKUP(D23,Enums!$B$2:$C$55, 2,FALSE)</f>
        <v>11</v>
      </c>
      <c r="F23" s="25" t="s">
        <v>123</v>
      </c>
      <c r="G23" s="3" t="s">
        <v>320</v>
      </c>
      <c r="H23" s="3" t="s">
        <v>87</v>
      </c>
      <c r="I23" s="3" t="s">
        <v>104</v>
      </c>
      <c r="J23" s="3" t="s">
        <v>365</v>
      </c>
      <c r="K23" s="3" t="b">
        <v>1</v>
      </c>
      <c r="M23" s="20" t="str">
        <f t="shared" si="0"/>
        <v>('5.21', 'Managing information security in the ICT supply chain', 11, JSON_ARRAY('Preventive'), JSON_ARRAY('Confidentiality, Integrity, Availability'), JSON_ARRAY('Identify'), JSON_ARRAY('Supplier_relationships_security'), JSON_ARRAY('Governance_and_Ecosystem,Protection'), b'1'),</v>
      </c>
    </row>
    <row r="24" spans="1:13" x14ac:dyDescent="0.25">
      <c r="A24" s="13">
        <v>22</v>
      </c>
      <c r="B24" s="13" t="s">
        <v>174</v>
      </c>
      <c r="C24" s="3" t="s">
        <v>170</v>
      </c>
      <c r="D24" s="3" t="s">
        <v>68</v>
      </c>
      <c r="E24" s="18">
        <f>VLOOKUP(D24,Enums!$B$2:$C$55, 2,FALSE)</f>
        <v>11</v>
      </c>
      <c r="F24" s="25" t="s">
        <v>123</v>
      </c>
      <c r="G24" s="3" t="s">
        <v>320</v>
      </c>
      <c r="H24" s="3" t="s">
        <v>87</v>
      </c>
      <c r="I24" s="3" t="s">
        <v>104</v>
      </c>
      <c r="J24" s="3" t="s">
        <v>367</v>
      </c>
      <c r="K24" s="3" t="b">
        <v>1</v>
      </c>
      <c r="M24" s="20" t="str">
        <f t="shared" si="0"/>
        <v>('5.22', 'Monitoring, review and change management of supplier services', 11, JSON_ARRAY('Preventive'), JSON_ARRAY('Confidentiality, Integrity, Availability'), JSON_ARRAY('Identify'), JSON_ARRAY('Supplier_relationships_security'), JSON_ARRAY('Governance_and_EcosystemProtection,Defence,Information_security_assurance'), b'1'),</v>
      </c>
    </row>
    <row r="25" spans="1:13" x14ac:dyDescent="0.25">
      <c r="A25" s="13">
        <v>23</v>
      </c>
      <c r="B25" s="13" t="s">
        <v>175</v>
      </c>
      <c r="C25" s="3" t="s">
        <v>171</v>
      </c>
      <c r="D25" s="3" t="s">
        <v>68</v>
      </c>
      <c r="E25" s="18">
        <f>VLOOKUP(D25,Enums!$B$2:$C$55, 2,FALSE)</f>
        <v>11</v>
      </c>
      <c r="F25" s="25" t="s">
        <v>123</v>
      </c>
      <c r="G25" s="3" t="s">
        <v>320</v>
      </c>
      <c r="H25" s="3" t="s">
        <v>88</v>
      </c>
      <c r="I25" s="3" t="s">
        <v>104</v>
      </c>
      <c r="J25" s="3" t="s">
        <v>365</v>
      </c>
      <c r="K25" s="3" t="b">
        <v>1</v>
      </c>
      <c r="M25" s="20" t="str">
        <f t="shared" si="0"/>
        <v>('5.23', 'Information security for use of cloud services', 11, JSON_ARRAY('Preventive'), JSON_ARRAY('Confidentiality, Integrity, Availability'), JSON_ARRAY('Protect'), JSON_ARRAY('Supplier_relationships_security'), JSON_ARRAY('Governance_and_Ecosystem,Protection'), b'1'),</v>
      </c>
    </row>
    <row r="26" spans="1:13" x14ac:dyDescent="0.25">
      <c r="A26" s="13">
        <v>24</v>
      </c>
      <c r="B26" s="13" t="s">
        <v>176</v>
      </c>
      <c r="C26" s="3" t="s">
        <v>172</v>
      </c>
      <c r="D26" s="3" t="s">
        <v>68</v>
      </c>
      <c r="E26" s="18">
        <f>VLOOKUP(D26,Enums!$B$2:$C$55, 2,FALSE)</f>
        <v>11</v>
      </c>
      <c r="F26" s="25" t="s">
        <v>123</v>
      </c>
      <c r="G26" s="3" t="s">
        <v>320</v>
      </c>
      <c r="H26" s="3" t="s">
        <v>330</v>
      </c>
      <c r="I26" s="3" t="s">
        <v>343</v>
      </c>
      <c r="J26" s="3" t="s">
        <v>111</v>
      </c>
      <c r="K26" s="3" t="b">
        <v>1</v>
      </c>
      <c r="M26" s="20" t="str">
        <f t="shared" si="0"/>
        <v>('5.24', 'Information security incident management planning and preparation', 11, JSON_ARRAY('Preventive'), JSON_ARRAY('Confidentiality, Integrity, Availability'), JSON_ARRAY('Respond,Recover'), JSON_ARRAY('Governance,Information_security_event_management'), JSON_ARRAY('Defence'), b'1'),</v>
      </c>
    </row>
    <row r="27" spans="1:13" x14ac:dyDescent="0.25">
      <c r="A27" s="13">
        <v>25</v>
      </c>
      <c r="B27" s="13" t="s">
        <v>177</v>
      </c>
      <c r="C27" s="3" t="s">
        <v>173</v>
      </c>
      <c r="D27" s="3" t="s">
        <v>68</v>
      </c>
      <c r="E27" s="18">
        <f>VLOOKUP(D27,Enums!$B$2:$C$55, 2,FALSE)</f>
        <v>11</v>
      </c>
      <c r="F27" s="25" t="s">
        <v>123</v>
      </c>
      <c r="G27" s="3" t="s">
        <v>320</v>
      </c>
      <c r="H27" s="3" t="s">
        <v>331</v>
      </c>
      <c r="I27" s="3" t="s">
        <v>106</v>
      </c>
      <c r="J27" s="3" t="s">
        <v>111</v>
      </c>
      <c r="K27" s="3" t="b">
        <v>1</v>
      </c>
      <c r="M27" s="20" t="str">
        <f t="shared" si="0"/>
        <v>('5.25', 'Assessment and decision on information security events', 11, JSON_ARRAY('Preventive'), JSON_ARRAY('Confidentiality, Integrity, Availability'), JSON_ARRAY('Detect,Respond'), JSON_ARRAY('Information_security_event_management'), JSON_ARRAY('Defence'), b'1'),</v>
      </c>
    </row>
    <row r="28" spans="1:13" x14ac:dyDescent="0.25">
      <c r="A28" s="13">
        <v>26</v>
      </c>
      <c r="B28" s="13" t="s">
        <v>180</v>
      </c>
      <c r="C28" s="3" t="s">
        <v>178</v>
      </c>
      <c r="D28" s="3" t="s">
        <v>68</v>
      </c>
      <c r="E28" s="18">
        <f>VLOOKUP(D28,Enums!$B$2:$C$55, 2,FALSE)</f>
        <v>11</v>
      </c>
      <c r="F28" s="25" t="s">
        <v>123</v>
      </c>
      <c r="G28" s="3" t="s">
        <v>320</v>
      </c>
      <c r="H28" s="3" t="s">
        <v>330</v>
      </c>
      <c r="I28" s="3" t="s">
        <v>106</v>
      </c>
      <c r="J28" s="3" t="s">
        <v>111</v>
      </c>
      <c r="K28" s="3" t="b">
        <v>1</v>
      </c>
      <c r="M28" s="20" t="str">
        <f t="shared" si="0"/>
        <v>('5.26', 'Response to information security incidents', 11, JSON_ARRAY('Preventive'), JSON_ARRAY('Confidentiality, Integrity, Availability'), JSON_ARRAY('Respond,Recover'), JSON_ARRAY('Information_security_event_management'), JSON_ARRAY('Defence'), b'1'),</v>
      </c>
    </row>
    <row r="29" spans="1:13" x14ac:dyDescent="0.25">
      <c r="A29" s="13">
        <v>27</v>
      </c>
      <c r="B29" s="13" t="s">
        <v>181</v>
      </c>
      <c r="C29" s="3" t="s">
        <v>179</v>
      </c>
      <c r="D29" s="3" t="s">
        <v>68</v>
      </c>
      <c r="E29" s="18">
        <f>VLOOKUP(D29,Enums!$B$2:$C$55, 2,FALSE)</f>
        <v>11</v>
      </c>
      <c r="F29" s="25" t="s">
        <v>123</v>
      </c>
      <c r="G29" s="3" t="s">
        <v>320</v>
      </c>
      <c r="H29" s="3" t="s">
        <v>329</v>
      </c>
      <c r="I29" s="3" t="s">
        <v>106</v>
      </c>
      <c r="J29" s="3" t="s">
        <v>111</v>
      </c>
      <c r="K29" s="3" t="b">
        <v>1</v>
      </c>
      <c r="M29" s="20" t="str">
        <f t="shared" si="0"/>
        <v>('5.27', 'Learning from information security incidents', 11, JSON_ARRAY('Preventive'), JSON_ARRAY('Confidentiality, Integrity, Availability'), JSON_ARRAY('Identify,Protect'), JSON_ARRAY('Information_security_event_management'), JSON_ARRAY('Defence'), b'1'),</v>
      </c>
    </row>
    <row r="30" spans="1:13" x14ac:dyDescent="0.25">
      <c r="A30" s="13">
        <v>28</v>
      </c>
      <c r="B30" s="13" t="s">
        <v>182</v>
      </c>
      <c r="C30" s="3" t="s">
        <v>183</v>
      </c>
      <c r="D30" s="3" t="s">
        <v>68</v>
      </c>
      <c r="E30" s="18">
        <f>VLOOKUP(D30,Enums!$B$2:$C$55, 2,FALSE)</f>
        <v>11</v>
      </c>
      <c r="F30" s="25" t="s">
        <v>123</v>
      </c>
      <c r="G30" s="3" t="s">
        <v>320</v>
      </c>
      <c r="H30" s="3" t="s">
        <v>331</v>
      </c>
      <c r="I30" s="3" t="s">
        <v>106</v>
      </c>
      <c r="J30" s="3" t="s">
        <v>111</v>
      </c>
      <c r="K30" s="3" t="b">
        <v>1</v>
      </c>
      <c r="M30" s="20" t="str">
        <f t="shared" si="0"/>
        <v>('5.28', 'Collection of evidence', 11, JSON_ARRAY('Preventive'), JSON_ARRAY('Confidentiality, Integrity, Availability'), JSON_ARRAY('Detect,Respond'), JSON_ARRAY('Information_security_event_management'), JSON_ARRAY('Defence'), b'1'),</v>
      </c>
    </row>
    <row r="31" spans="1:13" x14ac:dyDescent="0.25">
      <c r="A31" s="13">
        <v>29</v>
      </c>
      <c r="B31" s="13" t="s">
        <v>187</v>
      </c>
      <c r="C31" s="3" t="s">
        <v>184</v>
      </c>
      <c r="D31" s="3" t="s">
        <v>68</v>
      </c>
      <c r="E31" s="18">
        <f>VLOOKUP(D31,Enums!$B$2:$C$55, 2,FALSE)</f>
        <v>11</v>
      </c>
      <c r="F31" s="25" t="s">
        <v>123</v>
      </c>
      <c r="G31" s="3" t="s">
        <v>320</v>
      </c>
      <c r="H31" s="3" t="s">
        <v>332</v>
      </c>
      <c r="I31" s="3" t="s">
        <v>103</v>
      </c>
      <c r="J31" s="3" t="s">
        <v>368</v>
      </c>
      <c r="K31" s="3" t="b">
        <v>1</v>
      </c>
      <c r="M31" s="20" t="str">
        <f t="shared" si="0"/>
        <v>('5.29', 'Information security during disruption', 11, JSON_ARRAY('Preventive'), JSON_ARRAY('Confidentiality, Integrity, Availability'), JSON_ARRAY('Protect,Respond'), JSON_ARRAY('Continuity'), JSON_ARRAY('Protection,Resilience'), b'1'),</v>
      </c>
    </row>
    <row r="32" spans="1:13" x14ac:dyDescent="0.25">
      <c r="A32" s="13">
        <v>30</v>
      </c>
      <c r="B32" s="13" t="s">
        <v>188</v>
      </c>
      <c r="C32" s="3" t="s">
        <v>185</v>
      </c>
      <c r="D32" s="3" t="s">
        <v>68</v>
      </c>
      <c r="E32" s="18">
        <f>VLOOKUP(D32,Enums!$B$2:$C$55, 2,FALSE)</f>
        <v>11</v>
      </c>
      <c r="F32" s="25" t="s">
        <v>81</v>
      </c>
      <c r="G32" s="3" t="s">
        <v>85</v>
      </c>
      <c r="H32" s="3" t="s">
        <v>90</v>
      </c>
      <c r="I32" s="3" t="s">
        <v>103</v>
      </c>
      <c r="J32" s="3" t="s">
        <v>112</v>
      </c>
      <c r="K32" s="3" t="b">
        <v>1</v>
      </c>
      <c r="M32" s="20" t="str">
        <f t="shared" si="0"/>
        <v>('5.30', 'ICT readiness for business continuity', 11, JSON_ARRAY('Corrective'), JSON_ARRAY('Availability'), JSON_ARRAY('Respond'), JSON_ARRAY('Continuity'), JSON_ARRAY('Resilience'), b'1'),</v>
      </c>
    </row>
    <row r="33" spans="1:13" x14ac:dyDescent="0.25">
      <c r="A33" s="13">
        <v>31</v>
      </c>
      <c r="B33" s="13" t="s">
        <v>189</v>
      </c>
      <c r="C33" s="3" t="s">
        <v>186</v>
      </c>
      <c r="D33" s="3" t="s">
        <v>68</v>
      </c>
      <c r="E33" s="18">
        <f>VLOOKUP(D33,Enums!$B$2:$C$55, 2,FALSE)</f>
        <v>11</v>
      </c>
      <c r="F33" s="25" t="s">
        <v>123</v>
      </c>
      <c r="G33" s="3" t="s">
        <v>320</v>
      </c>
      <c r="H33" s="3" t="s">
        <v>87</v>
      </c>
      <c r="I33" s="3" t="s">
        <v>105</v>
      </c>
      <c r="J33" s="3" t="s">
        <v>364</v>
      </c>
      <c r="K33" s="3" t="b">
        <v>1</v>
      </c>
      <c r="M33" s="20" t="str">
        <f t="shared" si="0"/>
        <v>('5.31', 'Legal, statutory, regulatory and contractual requirements', 11, JSON_ARRAY('Preventive'), JSON_ARRAY('Confidentiality, Integrity, Availability'), JSON_ARRAY('Identify'), JSON_ARRAY('Legal_and_compliance'), JSON_ARRAY('Governance_and_EcosystemProtection'), b'1'),</v>
      </c>
    </row>
    <row r="34" spans="1:13" x14ac:dyDescent="0.25">
      <c r="A34" s="13">
        <v>32</v>
      </c>
      <c r="B34" s="13" t="s">
        <v>190</v>
      </c>
      <c r="C34" s="3" t="s">
        <v>191</v>
      </c>
      <c r="D34" s="3" t="s">
        <v>68</v>
      </c>
      <c r="E34" s="18">
        <f>VLOOKUP(D34,Enums!$B$2:$C$55, 2,FALSE)</f>
        <v>11</v>
      </c>
      <c r="F34" s="25" t="s">
        <v>123</v>
      </c>
      <c r="G34" s="3" t="s">
        <v>320</v>
      </c>
      <c r="H34" s="3" t="s">
        <v>87</v>
      </c>
      <c r="I34" s="3" t="s">
        <v>105</v>
      </c>
      <c r="J34" s="3" t="s">
        <v>325</v>
      </c>
      <c r="K34" s="3" t="b">
        <v>1</v>
      </c>
      <c r="M34" s="20" t="str">
        <f t="shared" si="0"/>
        <v>('5.32', 'Intellectual property rights', 11, JSON_ARRAY('Preventive'), JSON_ARRAY('Confidentiality, Integrity, Availability'), JSON_ARRAY('Identify'), JSON_ARRAY('Legal_and_compliance'), JSON_ARRAY('Governance_and_Ecosystem'), b'1'),</v>
      </c>
    </row>
    <row r="35" spans="1:13" x14ac:dyDescent="0.25">
      <c r="A35" s="13">
        <v>33</v>
      </c>
      <c r="B35" s="13" t="s">
        <v>195</v>
      </c>
      <c r="C35" s="3" t="s">
        <v>192</v>
      </c>
      <c r="D35" s="3" t="s">
        <v>68</v>
      </c>
      <c r="E35" s="18">
        <f>VLOOKUP(D35,Enums!$B$2:$C$55, 2,FALSE)</f>
        <v>11</v>
      </c>
      <c r="F35" s="25" t="s">
        <v>123</v>
      </c>
      <c r="G35" s="3" t="s">
        <v>320</v>
      </c>
      <c r="H35" s="3" t="s">
        <v>329</v>
      </c>
      <c r="I35" s="3" t="s">
        <v>344</v>
      </c>
      <c r="J35" s="3" t="s">
        <v>111</v>
      </c>
      <c r="K35" s="3" t="b">
        <v>1</v>
      </c>
      <c r="M35" s="20" t="str">
        <f t="shared" si="0"/>
        <v>('5.33', 'Protection of records', 11, JSON_ARRAY('Preventive'), JSON_ARRAY('Confidentiality, Integrity, Availability'), JSON_ARRAY('Identify,Protect'), JSON_ARRAY('Legal_and_compliance,Asset_management,Information_protection'), JSON_ARRAY('Defence'), b'1'),</v>
      </c>
    </row>
    <row r="36" spans="1:13" x14ac:dyDescent="0.25">
      <c r="A36" s="13">
        <v>34</v>
      </c>
      <c r="B36" s="13" t="s">
        <v>196</v>
      </c>
      <c r="C36" s="3" t="s">
        <v>193</v>
      </c>
      <c r="D36" s="3" t="s">
        <v>68</v>
      </c>
      <c r="E36" s="18">
        <f>VLOOKUP(D36,Enums!$B$2:$C$55, 2,FALSE)</f>
        <v>11</v>
      </c>
      <c r="F36" s="25" t="s">
        <v>123</v>
      </c>
      <c r="G36" s="3" t="s">
        <v>320</v>
      </c>
      <c r="H36" s="3" t="s">
        <v>329</v>
      </c>
      <c r="I36" s="3" t="s">
        <v>345</v>
      </c>
      <c r="J36" s="3" t="s">
        <v>110</v>
      </c>
      <c r="K36" s="3" t="b">
        <v>1</v>
      </c>
      <c r="M36" s="20" t="str">
        <f t="shared" si="0"/>
        <v>('5.34', 'Privacy and protection of PII', 11, JSON_ARRAY('Preventive'), JSON_ARRAY('Confidentiality, Integrity, Availability'), JSON_ARRAY('Identify,Protect'), JSON_ARRAY('Information_protection,Legal_and_compliance'), JSON_ARRAY('Protection'), b'1'),</v>
      </c>
    </row>
    <row r="37" spans="1:13" x14ac:dyDescent="0.25">
      <c r="A37" s="13">
        <v>35</v>
      </c>
      <c r="B37" s="13" t="s">
        <v>197</v>
      </c>
      <c r="C37" s="3" t="s">
        <v>194</v>
      </c>
      <c r="D37" s="3" t="s">
        <v>68</v>
      </c>
      <c r="E37" s="18">
        <f>VLOOKUP(D37,Enums!$B$2:$C$55, 2,FALSE)</f>
        <v>11</v>
      </c>
      <c r="F37" s="25" t="s">
        <v>123</v>
      </c>
      <c r="G37" s="3" t="s">
        <v>320</v>
      </c>
      <c r="H37" s="3" t="s">
        <v>329</v>
      </c>
      <c r="I37" s="3" t="s">
        <v>107</v>
      </c>
      <c r="J37" s="3" t="s">
        <v>325</v>
      </c>
      <c r="K37" s="3" t="b">
        <v>1</v>
      </c>
      <c r="M37" s="20" t="str">
        <f t="shared" si="0"/>
        <v>('5.35', 'Independent review of information security', 11, JSON_ARRAY('Preventive'), JSON_ARRAY('Confidentiality, Integrity, Availability'), JSON_ARRAY('Identify,Protect'), JSON_ARRAY('Information_security_assurance'), JSON_ARRAY('Governance_and_Ecosystem'), b'1'),</v>
      </c>
    </row>
    <row r="38" spans="1:13" x14ac:dyDescent="0.25">
      <c r="A38" s="13">
        <v>36</v>
      </c>
      <c r="B38" s="13" t="s">
        <v>200</v>
      </c>
      <c r="C38" s="3" t="s">
        <v>198</v>
      </c>
      <c r="D38" s="3" t="s">
        <v>68</v>
      </c>
      <c r="E38" s="18">
        <f>VLOOKUP(D38,Enums!$B$2:$C$55, 2,FALSE)</f>
        <v>11</v>
      </c>
      <c r="F38" s="25" t="s">
        <v>123</v>
      </c>
      <c r="G38" s="3" t="s">
        <v>320</v>
      </c>
      <c r="H38" s="3" t="s">
        <v>329</v>
      </c>
      <c r="I38" s="3" t="s">
        <v>346</v>
      </c>
      <c r="J38" s="3" t="s">
        <v>325</v>
      </c>
      <c r="K38" s="3" t="b">
        <v>1</v>
      </c>
      <c r="M38" s="20" t="str">
        <f t="shared" si="0"/>
        <v>('5.36', 'Compliance with policies, rules and standards for information security', 11, JSON_ARRAY('Preventive'), JSON_ARRAY('Confidentiality, Integrity, Availability'), JSON_ARRAY('Identify,Protect'), JSON_ARRAY('Legal_and_compliance,Information_security_assurance'), JSON_ARRAY('Governance_and_Ecosystem'), b'1'),</v>
      </c>
    </row>
    <row r="39" spans="1:13" x14ac:dyDescent="0.25">
      <c r="A39" s="13">
        <v>37</v>
      </c>
      <c r="B39" s="13" t="s">
        <v>201</v>
      </c>
      <c r="C39" s="3" t="s">
        <v>199</v>
      </c>
      <c r="D39" s="3" t="s">
        <v>68</v>
      </c>
      <c r="E39" s="18">
        <f>VLOOKUP(D39,Enums!$B$2:$C$55, 2,FALSE)</f>
        <v>11</v>
      </c>
      <c r="F39" s="25" t="s">
        <v>337</v>
      </c>
      <c r="G39" s="3" t="s">
        <v>320</v>
      </c>
      <c r="H39" s="3" t="s">
        <v>333</v>
      </c>
      <c r="I39" s="3" t="s">
        <v>347</v>
      </c>
      <c r="J39" s="3" t="s">
        <v>369</v>
      </c>
      <c r="K39" s="3" t="b">
        <v>1</v>
      </c>
      <c r="M39" s="20" t="str">
        <f t="shared" si="0"/>
        <v>('5.37', 'Documented operating procedures', 11, JSON_ARRAY('Preventive,Corrective'), JSON_ARRAY('Confidentiality, Integrity, Availability'), JSON_ARRAY('Protect,Recover'), JSON_ARRAY('Asset_management,Physical_security,System_and_network_security,Application_security,Secure_configuration,Identity_and_access_management,Threat_and_vulnerability_management,Continuity,Information_security_event_management'), JSON_ARRAY('Governance_and_Ecosystem,Protection,Defence'), b'1'),</v>
      </c>
    </row>
    <row r="40" spans="1:13" x14ac:dyDescent="0.25">
      <c r="A40" s="13">
        <v>38</v>
      </c>
      <c r="B40" s="13" t="s">
        <v>203</v>
      </c>
      <c r="C40" s="3" t="s">
        <v>202</v>
      </c>
      <c r="D40" s="3" t="s">
        <v>69</v>
      </c>
      <c r="E40" s="18">
        <f>VLOOKUP(D40,Enums!$B$2:$C$55, 2,FALSE)</f>
        <v>12</v>
      </c>
      <c r="F40" s="25" t="s">
        <v>123</v>
      </c>
      <c r="G40" s="3" t="s">
        <v>320</v>
      </c>
      <c r="H40" s="3" t="s">
        <v>88</v>
      </c>
      <c r="I40" s="3" t="s">
        <v>96</v>
      </c>
      <c r="J40" s="3" t="s">
        <v>325</v>
      </c>
      <c r="K40" s="3" t="b">
        <v>1</v>
      </c>
      <c r="M40" s="20" t="str">
        <f t="shared" si="0"/>
        <v>('6.1', 'Screening', 12, JSON_ARRAY('Preventive'), JSON_ARRAY('Confidentiality, Integrity, Availability'), JSON_ARRAY('Protect'), JSON_ARRAY('Human_resource_security'), JSON_ARRAY('Governance_and_Ecosystem'), b'1'),</v>
      </c>
    </row>
    <row r="41" spans="1:13" x14ac:dyDescent="0.25">
      <c r="A41" s="13">
        <v>39</v>
      </c>
      <c r="B41" s="13" t="s">
        <v>205</v>
      </c>
      <c r="C41" s="3" t="s">
        <v>204</v>
      </c>
      <c r="D41" s="3" t="s">
        <v>69</v>
      </c>
      <c r="E41" s="18">
        <f>VLOOKUP(D41,Enums!$B$2:$C$55, 2,FALSE)</f>
        <v>12</v>
      </c>
      <c r="F41" s="25" t="s">
        <v>123</v>
      </c>
      <c r="G41" s="3" t="s">
        <v>320</v>
      </c>
      <c r="H41" s="3" t="s">
        <v>88</v>
      </c>
      <c r="I41" s="3" t="s">
        <v>96</v>
      </c>
      <c r="J41" s="3" t="s">
        <v>325</v>
      </c>
      <c r="K41" s="3" t="b">
        <v>1</v>
      </c>
      <c r="M41" s="20" t="str">
        <f t="shared" si="0"/>
        <v>('6.2', 'Terms and conditions of employment', 12, JSON_ARRAY('Preventive'), JSON_ARRAY('Confidentiality, Integrity, Availability'), JSON_ARRAY('Protect'), JSON_ARRAY('Human_resource_security'), JSON_ARRAY('Governance_and_Ecosystem'), b'1'),</v>
      </c>
    </row>
    <row r="42" spans="1:13" x14ac:dyDescent="0.25">
      <c r="A42" s="13">
        <v>40</v>
      </c>
      <c r="B42" s="13" t="s">
        <v>208</v>
      </c>
      <c r="C42" s="3" t="s">
        <v>206</v>
      </c>
      <c r="D42" s="3" t="s">
        <v>69</v>
      </c>
      <c r="E42" s="18">
        <f>VLOOKUP(D42,Enums!$B$2:$C$55, 2,FALSE)</f>
        <v>12</v>
      </c>
      <c r="F42" s="25" t="s">
        <v>123</v>
      </c>
      <c r="G42" s="3" t="s">
        <v>320</v>
      </c>
      <c r="H42" s="3" t="s">
        <v>88</v>
      </c>
      <c r="I42" s="3" t="s">
        <v>96</v>
      </c>
      <c r="J42" s="3" t="s">
        <v>325</v>
      </c>
      <c r="K42" s="3" t="b">
        <v>1</v>
      </c>
      <c r="M42" s="20" t="str">
        <f t="shared" si="0"/>
        <v>('6.3', 'Information security awareness, education and training', 12, JSON_ARRAY('Preventive'), JSON_ARRAY('Confidentiality, Integrity, Availability'), JSON_ARRAY('Protect'), JSON_ARRAY('Human_resource_security'), JSON_ARRAY('Governance_and_Ecosystem'), b'1'),</v>
      </c>
    </row>
    <row r="43" spans="1:13" x14ac:dyDescent="0.25">
      <c r="A43" s="13">
        <v>41</v>
      </c>
      <c r="B43" s="13" t="s">
        <v>209</v>
      </c>
      <c r="C43" s="3" t="s">
        <v>207</v>
      </c>
      <c r="D43" s="3" t="s">
        <v>69</v>
      </c>
      <c r="E43" s="18">
        <f>VLOOKUP(D43,Enums!$B$2:$C$55, 2,FALSE)</f>
        <v>12</v>
      </c>
      <c r="F43" s="25" t="s">
        <v>337</v>
      </c>
      <c r="G43" s="3" t="s">
        <v>320</v>
      </c>
      <c r="H43" s="3" t="s">
        <v>332</v>
      </c>
      <c r="I43" s="3" t="s">
        <v>96</v>
      </c>
      <c r="J43" s="3" t="s">
        <v>325</v>
      </c>
      <c r="K43" s="3" t="b">
        <v>1</v>
      </c>
      <c r="M43" s="20" t="str">
        <f t="shared" si="0"/>
        <v>('6.4', 'Disciplinary process', 12, JSON_ARRAY('Preventive,Corrective'), JSON_ARRAY('Confidentiality, Integrity, Availability'), JSON_ARRAY('Protect,Respond'), JSON_ARRAY('Human_resource_security'), JSON_ARRAY('Governance_and_Ecosystem'), b'1'),</v>
      </c>
    </row>
    <row r="44" spans="1:13" x14ac:dyDescent="0.25">
      <c r="A44" s="13">
        <v>42</v>
      </c>
      <c r="B44" s="13" t="s">
        <v>212</v>
      </c>
      <c r="C44" s="3" t="s">
        <v>210</v>
      </c>
      <c r="D44" s="3" t="s">
        <v>69</v>
      </c>
      <c r="E44" s="18">
        <f>VLOOKUP(D44,Enums!$B$2:$C$55, 2,FALSE)</f>
        <v>12</v>
      </c>
      <c r="F44" s="25" t="s">
        <v>123</v>
      </c>
      <c r="G44" s="3" t="s">
        <v>320</v>
      </c>
      <c r="H44" s="3" t="s">
        <v>88</v>
      </c>
      <c r="I44" s="3" t="s">
        <v>348</v>
      </c>
      <c r="J44" s="3" t="s">
        <v>325</v>
      </c>
      <c r="K44" s="3" t="b">
        <v>1</v>
      </c>
      <c r="M44" s="20" t="str">
        <f t="shared" si="0"/>
        <v>('6.5', 'Responsibilities after termination or change of employment', 12, JSON_ARRAY('Preventive'), JSON_ARRAY('Confidentiality, Integrity, Availability'), JSON_ARRAY('Protect'), JSON_ARRAY('Human_resource_security,Asset_management'), JSON_ARRAY('Governance_and_Ecosystem'), b'1'),</v>
      </c>
    </row>
    <row r="45" spans="1:13" x14ac:dyDescent="0.25">
      <c r="A45" s="13">
        <v>43</v>
      </c>
      <c r="B45" s="13" t="s">
        <v>213</v>
      </c>
      <c r="C45" s="3" t="s">
        <v>211</v>
      </c>
      <c r="D45" s="3" t="s">
        <v>69</v>
      </c>
      <c r="E45" s="18">
        <f>VLOOKUP(D45,Enums!$B$2:$C$55, 2,FALSE)</f>
        <v>12</v>
      </c>
      <c r="F45" s="25" t="s">
        <v>123</v>
      </c>
      <c r="G45" s="3" t="s">
        <v>320</v>
      </c>
      <c r="H45" s="3" t="s">
        <v>88</v>
      </c>
      <c r="I45" s="3" t="s">
        <v>349</v>
      </c>
      <c r="J45" s="3" t="s">
        <v>325</v>
      </c>
      <c r="K45" s="3" t="b">
        <v>1</v>
      </c>
      <c r="M45" s="20" t="str">
        <f t="shared" si="0"/>
        <v>('6.6', 'Confidentiality	or non-disclosure agreements', 12, JSON_ARRAY('Preventive'), JSON_ARRAY('Confidentiality, Integrity, Availability'), JSON_ARRAY('Protect'), JSON_ARRAY('Human_resource_security,Information_protection,Supplier_relationships'), JSON_ARRAY('Governance_and_Ecosystem'), b'1'),</v>
      </c>
    </row>
    <row r="46" spans="1:13" x14ac:dyDescent="0.25">
      <c r="A46" s="13">
        <v>44</v>
      </c>
      <c r="B46" s="13" t="s">
        <v>216</v>
      </c>
      <c r="C46" s="3" t="s">
        <v>214</v>
      </c>
      <c r="D46" s="3" t="s">
        <v>69</v>
      </c>
      <c r="E46" s="18">
        <f>VLOOKUP(D46,Enums!$B$2:$C$55, 2,FALSE)</f>
        <v>12</v>
      </c>
      <c r="F46" s="25" t="s">
        <v>123</v>
      </c>
      <c r="G46" s="3" t="s">
        <v>320</v>
      </c>
      <c r="H46" s="3" t="s">
        <v>88</v>
      </c>
      <c r="I46" s="3" t="s">
        <v>350</v>
      </c>
      <c r="J46" s="3" t="s">
        <v>110</v>
      </c>
      <c r="K46" s="3" t="b">
        <v>1</v>
      </c>
      <c r="M46" s="20" t="str">
        <f t="shared" si="0"/>
        <v>('6.7', 'Remote working', 12, JSON_ARRAY('Preventive'), JSON_ARRAY('Confidentiality, Integrity, Availability'), JSON_ARRAY('Protect'), JSON_ARRAY('Asset_management,Information_protection,Physical_security,System_and_network_security'), JSON_ARRAY('Protection'), b'1'),</v>
      </c>
    </row>
    <row r="47" spans="1:13" x14ac:dyDescent="0.25">
      <c r="A47" s="13">
        <v>45</v>
      </c>
      <c r="B47" s="13" t="s">
        <v>217</v>
      </c>
      <c r="C47" s="3" t="s">
        <v>215</v>
      </c>
      <c r="D47" s="3" t="s">
        <v>69</v>
      </c>
      <c r="E47" s="18">
        <f>VLOOKUP(D47,Enums!$B$2:$C$55, 2,FALSE)</f>
        <v>12</v>
      </c>
      <c r="F47" s="25" t="s">
        <v>80</v>
      </c>
      <c r="G47" s="3" t="s">
        <v>320</v>
      </c>
      <c r="H47" s="3" t="s">
        <v>89</v>
      </c>
      <c r="I47" s="3" t="s">
        <v>106</v>
      </c>
      <c r="J47" s="3" t="s">
        <v>111</v>
      </c>
      <c r="K47" s="3" t="b">
        <v>1</v>
      </c>
      <c r="M47" s="20" t="str">
        <f t="shared" si="0"/>
        <v>('6.8', 'Information security event reporting', 12, JSON_ARRAY('Detective'), JSON_ARRAY('Confidentiality, Integrity, Availability'), JSON_ARRAY('Detect'), JSON_ARRAY('Information_security_event_management'), JSON_ARRAY('Defence'), b'1'),</v>
      </c>
    </row>
    <row r="48" spans="1:13" x14ac:dyDescent="0.25">
      <c r="A48" s="13">
        <v>46</v>
      </c>
      <c r="B48" s="13" t="s">
        <v>219</v>
      </c>
      <c r="C48" s="3" t="s">
        <v>218</v>
      </c>
      <c r="D48" s="3" t="s">
        <v>70</v>
      </c>
      <c r="E48" s="18">
        <f>VLOOKUP(D48,Enums!$B$2:$C$55, 2,FALSE)</f>
        <v>13</v>
      </c>
      <c r="F48" s="25" t="s">
        <v>123</v>
      </c>
      <c r="G48" s="3" t="s">
        <v>320</v>
      </c>
      <c r="H48" s="3" t="s">
        <v>88</v>
      </c>
      <c r="I48" s="3" t="s">
        <v>97</v>
      </c>
      <c r="J48" s="3" t="s">
        <v>110</v>
      </c>
      <c r="K48" s="3" t="b">
        <v>1</v>
      </c>
      <c r="M48" s="20" t="str">
        <f t="shared" si="0"/>
        <v>('7.1', 'Physical security perimeters', 13, JSON_ARRAY('Preventive'), JSON_ARRAY('Confidentiality, Integrity, Availability'), JSON_ARRAY('Protect'), JSON_ARRAY('Physical_security'), JSON_ARRAY('Protection'), b'1'),</v>
      </c>
    </row>
    <row r="49" spans="1:13" x14ac:dyDescent="0.25">
      <c r="A49" s="13">
        <v>47</v>
      </c>
      <c r="B49" s="13" t="s">
        <v>220</v>
      </c>
      <c r="C49" s="3" t="s">
        <v>223</v>
      </c>
      <c r="D49" s="3" t="s">
        <v>70</v>
      </c>
      <c r="E49" s="18">
        <f>VLOOKUP(D49,Enums!$B$2:$C$55, 2,FALSE)</f>
        <v>13</v>
      </c>
      <c r="F49" s="25" t="s">
        <v>123</v>
      </c>
      <c r="G49" s="3" t="s">
        <v>320</v>
      </c>
      <c r="H49" s="3" t="s">
        <v>88</v>
      </c>
      <c r="I49" s="3" t="s">
        <v>351</v>
      </c>
      <c r="J49" s="3" t="s">
        <v>110</v>
      </c>
      <c r="K49" s="3" t="b">
        <v>1</v>
      </c>
      <c r="M49" s="20" t="str">
        <f t="shared" si="0"/>
        <v>('7.2', 'Physical entry', 13, JSON_ARRAY('Preventive'), JSON_ARRAY('Confidentiality, Integrity, Availability'), JSON_ARRAY('Protect'), JSON_ARRAY('Physical_security,Identity_and_Access_Management'), JSON_ARRAY('Protection'), b'1'),</v>
      </c>
    </row>
    <row r="50" spans="1:13" x14ac:dyDescent="0.25">
      <c r="A50" s="13">
        <v>48</v>
      </c>
      <c r="B50" s="13" t="s">
        <v>221</v>
      </c>
      <c r="C50" s="3" t="s">
        <v>224</v>
      </c>
      <c r="D50" s="3" t="s">
        <v>70</v>
      </c>
      <c r="E50" s="18">
        <f>VLOOKUP(D50,Enums!$B$2:$C$55, 2,FALSE)</f>
        <v>13</v>
      </c>
      <c r="F50" s="25" t="s">
        <v>123</v>
      </c>
      <c r="G50" s="3" t="s">
        <v>320</v>
      </c>
      <c r="H50" s="3" t="s">
        <v>88</v>
      </c>
      <c r="I50" s="3" t="s">
        <v>352</v>
      </c>
      <c r="J50" s="3" t="s">
        <v>110</v>
      </c>
      <c r="K50" s="3" t="b">
        <v>1</v>
      </c>
      <c r="M50" s="20" t="str">
        <f t="shared" si="0"/>
        <v>('7.3', 'Securing offices, rooms and facilities', 13, JSON_ARRAY('Preventive'), JSON_ARRAY('Confidentiality, Integrity, Availability'), JSON_ARRAY('Protect'), JSON_ARRAY('Physical_security,Asset_management'), JSON_ARRAY('Protection'), b'1'),</v>
      </c>
    </row>
    <row r="51" spans="1:13" x14ac:dyDescent="0.25">
      <c r="A51" s="13">
        <v>49</v>
      </c>
      <c r="B51" s="13" t="s">
        <v>222</v>
      </c>
      <c r="C51" s="3" t="s">
        <v>225</v>
      </c>
      <c r="D51" s="3" t="s">
        <v>70</v>
      </c>
      <c r="E51" s="18">
        <f>VLOOKUP(D51,Enums!$B$2:$C$55, 2,FALSE)</f>
        <v>13</v>
      </c>
      <c r="F51" s="25" t="s">
        <v>339</v>
      </c>
      <c r="G51" s="3" t="s">
        <v>320</v>
      </c>
      <c r="H51" s="3" t="s">
        <v>334</v>
      </c>
      <c r="I51" s="3" t="s">
        <v>97</v>
      </c>
      <c r="J51" s="3" t="s">
        <v>366</v>
      </c>
      <c r="K51" s="3" t="b">
        <v>1</v>
      </c>
      <c r="M51" s="20" t="str">
        <f t="shared" si="0"/>
        <v>('7.4', 'Physical security monitoring', 13, JSON_ARRAY('Preventive,Detective'), JSON_ARRAY('Confidentiality, Integrity, Availability'), JSON_ARRAY('Protect,Detect'), JSON_ARRAY('Physical_security'), JSON_ARRAY('Protection,Defence'), b'1'),</v>
      </c>
    </row>
    <row r="52" spans="1:13" x14ac:dyDescent="0.25">
      <c r="A52" s="13">
        <v>50</v>
      </c>
      <c r="B52" s="13" t="s">
        <v>227</v>
      </c>
      <c r="C52" s="3" t="s">
        <v>226</v>
      </c>
      <c r="D52" s="3" t="s">
        <v>70</v>
      </c>
      <c r="E52" s="18">
        <f>VLOOKUP(D52,Enums!$B$2:$C$55, 2,FALSE)</f>
        <v>13</v>
      </c>
      <c r="F52" s="25" t="s">
        <v>123</v>
      </c>
      <c r="G52" s="3" t="s">
        <v>320</v>
      </c>
      <c r="H52" s="3" t="s">
        <v>88</v>
      </c>
      <c r="I52" s="3" t="s">
        <v>97</v>
      </c>
      <c r="J52" s="3" t="s">
        <v>110</v>
      </c>
      <c r="K52" s="3" t="b">
        <v>1</v>
      </c>
      <c r="M52" s="20" t="str">
        <f t="shared" si="0"/>
        <v>('7.5', 'Protecting against physical and environmental threats', 13, JSON_ARRAY('Preventive'), JSON_ARRAY('Confidentiality, Integrity, Availability'), JSON_ARRAY('Protect'), JSON_ARRAY('Physical_security'), JSON_ARRAY('Protection'), b'1'),</v>
      </c>
    </row>
    <row r="53" spans="1:13" x14ac:dyDescent="0.25">
      <c r="A53" s="13">
        <v>51</v>
      </c>
      <c r="B53" s="13" t="s">
        <v>228</v>
      </c>
      <c r="C53" s="3" t="s">
        <v>229</v>
      </c>
      <c r="D53" s="3" t="s">
        <v>70</v>
      </c>
      <c r="E53" s="18">
        <f>VLOOKUP(D53,Enums!$B$2:$C$55, 2,FALSE)</f>
        <v>13</v>
      </c>
      <c r="F53" s="25" t="s">
        <v>123</v>
      </c>
      <c r="G53" s="3" t="s">
        <v>320</v>
      </c>
      <c r="H53" s="3" t="s">
        <v>88</v>
      </c>
      <c r="I53" s="3" t="s">
        <v>97</v>
      </c>
      <c r="J53" s="3" t="s">
        <v>110</v>
      </c>
      <c r="K53" s="3" t="b">
        <v>1</v>
      </c>
      <c r="M53" s="20" t="str">
        <f t="shared" si="0"/>
        <v>('7.6', 'Working in secure areas', 13, JSON_ARRAY('Preventive'), JSON_ARRAY('Confidentiality, Integrity, Availability'), JSON_ARRAY('Protect'), JSON_ARRAY('Physical_security'), JSON_ARRAY('Protection'), b'1'),</v>
      </c>
    </row>
    <row r="54" spans="1:13" x14ac:dyDescent="0.25">
      <c r="A54" s="13">
        <v>52</v>
      </c>
      <c r="B54" s="13" t="s">
        <v>232</v>
      </c>
      <c r="C54" s="3" t="s">
        <v>230</v>
      </c>
      <c r="D54" s="3" t="s">
        <v>70</v>
      </c>
      <c r="E54" s="18">
        <f>VLOOKUP(D54,Enums!$B$2:$C$55, 2,FALSE)</f>
        <v>13</v>
      </c>
      <c r="F54" s="25" t="s">
        <v>123</v>
      </c>
      <c r="G54" s="3" t="s">
        <v>83</v>
      </c>
      <c r="H54" s="3" t="s">
        <v>88</v>
      </c>
      <c r="I54" s="3" t="s">
        <v>97</v>
      </c>
      <c r="J54" s="3" t="s">
        <v>110</v>
      </c>
      <c r="K54" s="3" t="b">
        <v>1</v>
      </c>
      <c r="M54" s="20" t="str">
        <f t="shared" si="0"/>
        <v>('7.7', 'Clear desk and clear screen', 13, JSON_ARRAY('Preventive'), JSON_ARRAY('Confidentiality'), JSON_ARRAY('Protect'), JSON_ARRAY('Physical_security'), JSON_ARRAY('Protection'), b'1'),</v>
      </c>
    </row>
    <row r="55" spans="1:13" x14ac:dyDescent="0.25">
      <c r="A55" s="13">
        <v>53</v>
      </c>
      <c r="B55" s="13" t="s">
        <v>233</v>
      </c>
      <c r="C55" s="3" t="s">
        <v>231</v>
      </c>
      <c r="D55" s="3" t="s">
        <v>70</v>
      </c>
      <c r="E55" s="18">
        <f>VLOOKUP(D55,Enums!$B$2:$C$55, 2,FALSE)</f>
        <v>13</v>
      </c>
      <c r="F55" s="25" t="s">
        <v>123</v>
      </c>
      <c r="G55" s="3" t="s">
        <v>83</v>
      </c>
      <c r="H55" s="3" t="s">
        <v>88</v>
      </c>
      <c r="I55" s="3" t="s">
        <v>352</v>
      </c>
      <c r="J55" s="3" t="s">
        <v>110</v>
      </c>
      <c r="K55" s="3" t="b">
        <v>1</v>
      </c>
      <c r="M55" s="20" t="str">
        <f t="shared" si="0"/>
        <v>('7.8', 'Equipment siting and protection', 13, JSON_ARRAY('Preventive'), JSON_ARRAY('Confidentiality'), JSON_ARRAY('Protect'), JSON_ARRAY('Physical_security,Asset_management'), JSON_ARRAY('Protection'), b'1'),</v>
      </c>
    </row>
    <row r="56" spans="1:13" x14ac:dyDescent="0.25">
      <c r="A56" s="13">
        <v>54</v>
      </c>
      <c r="B56" s="13" t="s">
        <v>236</v>
      </c>
      <c r="C56" s="3" t="s">
        <v>234</v>
      </c>
      <c r="D56" s="3" t="s">
        <v>70</v>
      </c>
      <c r="E56" s="18">
        <f>VLOOKUP(D56,Enums!$B$2:$C$55, 2,FALSE)</f>
        <v>13</v>
      </c>
      <c r="F56" s="25" t="s">
        <v>123</v>
      </c>
      <c r="G56" s="3" t="s">
        <v>83</v>
      </c>
      <c r="H56" s="3" t="s">
        <v>88</v>
      </c>
      <c r="I56" s="3" t="s">
        <v>352</v>
      </c>
      <c r="J56" s="3" t="s">
        <v>110</v>
      </c>
      <c r="K56" s="3" t="b">
        <v>1</v>
      </c>
      <c r="M56" s="20" t="str">
        <f t="shared" si="0"/>
        <v>('7.9', 'Security of assets off-premises', 13, JSON_ARRAY('Preventive'), JSON_ARRAY('Confidentiality'), JSON_ARRAY('Protect'), JSON_ARRAY('Physical_security,Asset_management'), JSON_ARRAY('Protection'), b'1'),</v>
      </c>
    </row>
    <row r="57" spans="1:13" x14ac:dyDescent="0.25">
      <c r="A57" s="13">
        <v>55</v>
      </c>
      <c r="B57" s="13" t="s">
        <v>237</v>
      </c>
      <c r="C57" s="3" t="s">
        <v>235</v>
      </c>
      <c r="D57" s="3" t="s">
        <v>70</v>
      </c>
      <c r="E57" s="18">
        <f>VLOOKUP(D57,Enums!$B$2:$C$55, 2,FALSE)</f>
        <v>13</v>
      </c>
      <c r="F57" s="25" t="s">
        <v>123</v>
      </c>
      <c r="G57" s="3" t="s">
        <v>83</v>
      </c>
      <c r="H57" s="3" t="s">
        <v>88</v>
      </c>
      <c r="I57" s="3" t="s">
        <v>352</v>
      </c>
      <c r="J57" s="3" t="s">
        <v>110</v>
      </c>
      <c r="K57" s="3" t="b">
        <v>1</v>
      </c>
      <c r="M57" s="20" t="str">
        <f t="shared" si="0"/>
        <v>('7.10', 'Storage media', 13, JSON_ARRAY('Preventive'), JSON_ARRAY('Confidentiality'), JSON_ARRAY('Protect'), JSON_ARRAY('Physical_security,Asset_management'), JSON_ARRAY('Protection'), b'1'),</v>
      </c>
    </row>
    <row r="58" spans="1:13" x14ac:dyDescent="0.25">
      <c r="A58" s="13">
        <v>56</v>
      </c>
      <c r="B58" s="13" t="s">
        <v>241</v>
      </c>
      <c r="C58" s="3" t="s">
        <v>238</v>
      </c>
      <c r="D58" s="3" t="s">
        <v>70</v>
      </c>
      <c r="E58" s="18">
        <f>VLOOKUP(D58,Enums!$B$2:$C$55, 2,FALSE)</f>
        <v>13</v>
      </c>
      <c r="F58" s="25" t="s">
        <v>339</v>
      </c>
      <c r="G58" s="3" t="s">
        <v>321</v>
      </c>
      <c r="H58" s="3" t="s">
        <v>334</v>
      </c>
      <c r="I58" s="3" t="s">
        <v>97</v>
      </c>
      <c r="J58" s="3" t="s">
        <v>110</v>
      </c>
      <c r="K58" s="3" t="b">
        <v>1</v>
      </c>
      <c r="M58" s="20" t="str">
        <f t="shared" si="0"/>
        <v>('7.11', ' Supporting utilities', 13, JSON_ARRAY('Preventive,Detective'), JSON_ARRAY('Integrity, Availability'), JSON_ARRAY('Protect,Detect'), JSON_ARRAY('Physical_security'), JSON_ARRAY('Protection'), b'1'),</v>
      </c>
    </row>
    <row r="59" spans="1:13" x14ac:dyDescent="0.25">
      <c r="A59" s="13">
        <v>57</v>
      </c>
      <c r="B59" s="13" t="s">
        <v>242</v>
      </c>
      <c r="C59" s="3" t="s">
        <v>239</v>
      </c>
      <c r="D59" s="3" t="s">
        <v>70</v>
      </c>
      <c r="E59" s="18">
        <f>VLOOKUP(D59,Enums!$B$2:$C$55, 2,FALSE)</f>
        <v>13</v>
      </c>
      <c r="F59" s="25" t="s">
        <v>123</v>
      </c>
      <c r="G59" s="3" t="s">
        <v>322</v>
      </c>
      <c r="H59" s="3" t="s">
        <v>88</v>
      </c>
      <c r="I59" s="3" t="s">
        <v>97</v>
      </c>
      <c r="J59" s="3" t="s">
        <v>110</v>
      </c>
      <c r="K59" s="3" t="b">
        <v>1</v>
      </c>
      <c r="M59" s="20" t="str">
        <f t="shared" si="0"/>
        <v>('7.12', 'Cabling security', 13, JSON_ARRAY('Preventive'), JSON_ARRAY('Confidentiality, Availability'), JSON_ARRAY('Protect'), JSON_ARRAY('Physical_security'), JSON_ARRAY('Protection'), b'1'),</v>
      </c>
    </row>
    <row r="60" spans="1:13" x14ac:dyDescent="0.25">
      <c r="A60" s="13">
        <v>58</v>
      </c>
      <c r="B60" s="13" t="s">
        <v>243</v>
      </c>
      <c r="C60" s="3" t="s">
        <v>240</v>
      </c>
      <c r="D60" s="3" t="s">
        <v>70</v>
      </c>
      <c r="E60" s="18">
        <f>VLOOKUP(D60,Enums!$B$2:$C$55, 2,FALSE)</f>
        <v>13</v>
      </c>
      <c r="F60" s="25" t="s">
        <v>123</v>
      </c>
      <c r="G60" s="3" t="s">
        <v>320</v>
      </c>
      <c r="H60" s="3" t="s">
        <v>88</v>
      </c>
      <c r="I60" s="3" t="s">
        <v>352</v>
      </c>
      <c r="J60" s="3" t="s">
        <v>368</v>
      </c>
      <c r="K60" s="3" t="b">
        <v>1</v>
      </c>
      <c r="M60" s="20" t="str">
        <f t="shared" si="0"/>
        <v>('7.13', 'Equipment maintenance', 13, JSON_ARRAY('Preventive'), JSON_ARRAY('Confidentiality, Integrity, Availability'), JSON_ARRAY('Protect'), JSON_ARRAY('Physical_security,Asset_management'), JSON_ARRAY('Protection,Resilience'), b'1'),</v>
      </c>
    </row>
    <row r="61" spans="1:13" x14ac:dyDescent="0.25">
      <c r="A61" s="13">
        <v>59</v>
      </c>
      <c r="B61" s="13" t="s">
        <v>245</v>
      </c>
      <c r="C61" s="3" t="s">
        <v>244</v>
      </c>
      <c r="D61" s="3" t="s">
        <v>70</v>
      </c>
      <c r="E61" s="18">
        <f>VLOOKUP(D61,Enums!$B$2:$C$55, 2,FALSE)</f>
        <v>13</v>
      </c>
      <c r="F61" s="25" t="s">
        <v>123</v>
      </c>
      <c r="G61" s="3" t="s">
        <v>83</v>
      </c>
      <c r="H61" s="3" t="s">
        <v>88</v>
      </c>
      <c r="I61" s="3" t="s">
        <v>352</v>
      </c>
      <c r="J61" s="3" t="s">
        <v>110</v>
      </c>
      <c r="K61" s="3" t="b">
        <v>1</v>
      </c>
      <c r="M61" s="20" t="str">
        <f t="shared" si="0"/>
        <v>('7.14', 'Secure disposal or re-use of equipment', 13, JSON_ARRAY('Preventive'), JSON_ARRAY('Confidentiality'), JSON_ARRAY('Protect'), JSON_ARRAY('Physical_security,Asset_management'), JSON_ARRAY('Protection'), b'1'),</v>
      </c>
    </row>
    <row r="62" spans="1:13" x14ac:dyDescent="0.25">
      <c r="A62" s="13">
        <v>60</v>
      </c>
      <c r="B62" s="13" t="s">
        <v>247</v>
      </c>
      <c r="C62" s="3" t="s">
        <v>246</v>
      </c>
      <c r="D62" s="3" t="s">
        <v>71</v>
      </c>
      <c r="E62" s="18">
        <f>VLOOKUP(D62,Enums!$B$2:$C$55, 2,FALSE)</f>
        <v>14</v>
      </c>
      <c r="F62" s="25" t="s">
        <v>123</v>
      </c>
      <c r="G62" s="3" t="s">
        <v>320</v>
      </c>
      <c r="H62" s="3" t="s">
        <v>88</v>
      </c>
      <c r="I62" s="3" t="s">
        <v>342</v>
      </c>
      <c r="J62" s="3" t="s">
        <v>110</v>
      </c>
      <c r="K62" s="3" t="b">
        <v>1</v>
      </c>
      <c r="M62" s="20" t="str">
        <f t="shared" si="0"/>
        <v>('8.1', 'User endpoint devices', 14, JSON_ARRAY('Preventive'), JSON_ARRAY('Confidentiality, Integrity, Availability'), JSON_ARRAY('Protect'), JSON_ARRAY('Asset_management,Information_protection'), JSON_ARRAY('Protection'), b'1'),</v>
      </c>
    </row>
    <row r="63" spans="1:13" x14ac:dyDescent="0.25">
      <c r="A63" s="13">
        <v>61</v>
      </c>
      <c r="B63" s="13" t="s">
        <v>249</v>
      </c>
      <c r="C63" s="3" t="s">
        <v>248</v>
      </c>
      <c r="D63" s="3" t="s">
        <v>71</v>
      </c>
      <c r="E63" s="18">
        <f>VLOOKUP(D63,Enums!$B$2:$C$55, 2,FALSE)</f>
        <v>14</v>
      </c>
      <c r="F63" s="25" t="s">
        <v>123</v>
      </c>
      <c r="G63" s="3" t="s">
        <v>320</v>
      </c>
      <c r="H63" s="3" t="s">
        <v>88</v>
      </c>
      <c r="I63" s="3" t="s">
        <v>101</v>
      </c>
      <c r="J63" s="3" t="s">
        <v>110</v>
      </c>
      <c r="K63" s="3" t="b">
        <v>1</v>
      </c>
      <c r="M63" s="20" t="str">
        <f t="shared" si="0"/>
        <v>('8.2', 'Privileged access rights', 14, JSON_ARRAY('Preventive'), JSON_ARRAY('Confidentiality, Integrity, Availability'), JSON_ARRAY('Protect'), JSON_ARRAY('Identity_and_access_management'), JSON_ARRAY('Protection'), b'1'),</v>
      </c>
    </row>
    <row r="64" spans="1:13" x14ac:dyDescent="0.25">
      <c r="A64" s="13">
        <v>62</v>
      </c>
      <c r="B64" s="13" t="s">
        <v>250</v>
      </c>
      <c r="C64" s="3" t="s">
        <v>251</v>
      </c>
      <c r="D64" s="3" t="s">
        <v>71</v>
      </c>
      <c r="E64" s="18">
        <f>VLOOKUP(D64,Enums!$B$2:$C$55, 2,FALSE)</f>
        <v>14</v>
      </c>
      <c r="F64" s="25" t="s">
        <v>123</v>
      </c>
      <c r="G64" s="3" t="s">
        <v>320</v>
      </c>
      <c r="H64" s="3" t="s">
        <v>88</v>
      </c>
      <c r="I64" s="3" t="s">
        <v>101</v>
      </c>
      <c r="J64" s="3" t="s">
        <v>110</v>
      </c>
      <c r="K64" s="3" t="b">
        <v>1</v>
      </c>
      <c r="M64" s="20" t="str">
        <f t="shared" si="0"/>
        <v>('8.3', 'Information access restriction', 14, JSON_ARRAY('Preventive'), JSON_ARRAY('Confidentiality, Integrity, Availability'), JSON_ARRAY('Protect'), JSON_ARRAY('Identity_and_access_management'), JSON_ARRAY('Protection'), b'1'),</v>
      </c>
    </row>
    <row r="65" spans="1:13" x14ac:dyDescent="0.25">
      <c r="A65" s="13">
        <v>63</v>
      </c>
      <c r="B65" s="13" t="s">
        <v>254</v>
      </c>
      <c r="C65" s="3" t="s">
        <v>252</v>
      </c>
      <c r="D65" s="3" t="s">
        <v>71</v>
      </c>
      <c r="E65" s="18">
        <f>VLOOKUP(D65,Enums!$B$2:$C$55, 2,FALSE)</f>
        <v>14</v>
      </c>
      <c r="F65" s="25" t="s">
        <v>123</v>
      </c>
      <c r="G65" s="3" t="s">
        <v>320</v>
      </c>
      <c r="H65" s="3" t="s">
        <v>88</v>
      </c>
      <c r="I65" s="3" t="s">
        <v>353</v>
      </c>
      <c r="J65" s="3" t="s">
        <v>110</v>
      </c>
      <c r="K65" s="3" t="b">
        <v>1</v>
      </c>
      <c r="M65" s="20" t="str">
        <f t="shared" si="0"/>
        <v>('8.4', 'Access to source code', 14, JSON_ARRAY('Preventive'), JSON_ARRAY('Confidentiality, Integrity, Availability'), JSON_ARRAY('Protect'), JSON_ARRAY('Identity_and_access_management,Application_security,Secure_configuration'), JSON_ARRAY('Protection'), b'1'),</v>
      </c>
    </row>
    <row r="66" spans="1:13" x14ac:dyDescent="0.25">
      <c r="A66" s="13">
        <v>64</v>
      </c>
      <c r="B66" s="13" t="s">
        <v>255</v>
      </c>
      <c r="C66" s="3" t="s">
        <v>253</v>
      </c>
      <c r="D66" s="3" t="s">
        <v>71</v>
      </c>
      <c r="E66" s="18">
        <f>VLOOKUP(D66,Enums!$B$2:$C$55, 2,FALSE)</f>
        <v>14</v>
      </c>
      <c r="F66" s="25" t="s">
        <v>123</v>
      </c>
      <c r="G66" s="3" t="s">
        <v>320</v>
      </c>
      <c r="H66" s="3" t="s">
        <v>88</v>
      </c>
      <c r="I66" s="3" t="s">
        <v>101</v>
      </c>
      <c r="J66" s="3" t="s">
        <v>110</v>
      </c>
      <c r="K66" s="3" t="b">
        <v>1</v>
      </c>
      <c r="M66" s="20" t="str">
        <f t="shared" si="0"/>
        <v>('8.5', 'Secure authentication', 14, JSON_ARRAY('Preventive'), JSON_ARRAY('Confidentiality, Integrity, Availability'), JSON_ARRAY('Protect'), JSON_ARRAY('Identity_and_access_management'), JSON_ARRAY('Protection'), b'1'),</v>
      </c>
    </row>
    <row r="67" spans="1:13" x14ac:dyDescent="0.25">
      <c r="A67" s="13">
        <v>65</v>
      </c>
      <c r="B67" s="13" t="s">
        <v>256</v>
      </c>
      <c r="C67" s="3" t="s">
        <v>261</v>
      </c>
      <c r="D67" s="3" t="s">
        <v>71</v>
      </c>
      <c r="E67" s="18">
        <f>VLOOKUP(D67,Enums!$B$2:$C$55, 2,FALSE)</f>
        <v>14</v>
      </c>
      <c r="F67" s="25" t="s">
        <v>339</v>
      </c>
      <c r="G67" s="3" t="s">
        <v>321</v>
      </c>
      <c r="H67" s="3" t="s">
        <v>335</v>
      </c>
      <c r="I67" s="3" t="s">
        <v>103</v>
      </c>
      <c r="J67" s="3" t="s">
        <v>365</v>
      </c>
      <c r="K67" s="3" t="b">
        <v>1</v>
      </c>
      <c r="M67" s="20" t="str">
        <f t="shared" si="0"/>
        <v>('8.6', 'Capacity management', 14, JSON_ARRAY('Preventive,Detective'), JSON_ARRAY('Integrity, Availability'), JSON_ARRAY('Identify,Protect,Detect'), JSON_ARRAY('Continuity'), JSON_ARRAY('Governance_and_Ecosystem,Protection'), b'1'),</v>
      </c>
    </row>
    <row r="68" spans="1:13" x14ac:dyDescent="0.25">
      <c r="A68" s="13">
        <v>66</v>
      </c>
      <c r="B68" s="13" t="s">
        <v>257</v>
      </c>
      <c r="C68" s="3" t="s">
        <v>262</v>
      </c>
      <c r="D68" s="3" t="s">
        <v>71</v>
      </c>
      <c r="E68" s="18">
        <f>VLOOKUP(D68,Enums!$B$2:$C$55, 2,FALSE)</f>
        <v>14</v>
      </c>
      <c r="F68" s="25" t="s">
        <v>338</v>
      </c>
      <c r="G68" s="3" t="s">
        <v>320</v>
      </c>
      <c r="H68" s="3" t="s">
        <v>336</v>
      </c>
      <c r="I68" s="3" t="s">
        <v>354</v>
      </c>
      <c r="J68" s="3" t="s">
        <v>366</v>
      </c>
      <c r="K68" s="3" t="b">
        <v>1</v>
      </c>
      <c r="M68" s="20" t="str">
        <f t="shared" ref="M68:M95" si="1">_xlfn.CONCAT("('",B68,"', '",C68,"', ",E68,", JSON_ARRAY('",F68,"'), JSON_ARRAY('",G68,"'), JSON_ARRAY('",H68,"'), JSON_ARRAY('",I68,"'), JSON_ARRAY('",J68,"'), b'1'),")</f>
        <v>('8.7', 'Protection against malware', 14, JSON_ARRAY('Preventive,Detective,Corrective'), JSON_ARRAY('Confidentiality, Integrity, Availability'), JSON_ARRAY('ProtectDetect'), JSON_ARRAY('System_and_network_security,Information_protection'), JSON_ARRAY('Protection,Defence'), b'1'),</v>
      </c>
    </row>
    <row r="69" spans="1:13" x14ac:dyDescent="0.25">
      <c r="A69" s="13">
        <v>67</v>
      </c>
      <c r="B69" s="13" t="s">
        <v>258</v>
      </c>
      <c r="C69" s="3" t="s">
        <v>263</v>
      </c>
      <c r="D69" s="3" t="s">
        <v>71</v>
      </c>
      <c r="E69" s="18">
        <f>VLOOKUP(D69,Enums!$B$2:$C$55, 2,FALSE)</f>
        <v>14</v>
      </c>
      <c r="F69" s="25" t="s">
        <v>123</v>
      </c>
      <c r="G69" s="3" t="s">
        <v>320</v>
      </c>
      <c r="H69" s="3" t="s">
        <v>329</v>
      </c>
      <c r="I69" s="3" t="s">
        <v>102</v>
      </c>
      <c r="J69" s="3" t="s">
        <v>369</v>
      </c>
      <c r="K69" s="3" t="b">
        <v>1</v>
      </c>
      <c r="M69" s="20" t="str">
        <f t="shared" si="1"/>
        <v>('8.8', 'Management of technical vulnerabilities', 14, JSON_ARRAY('Preventive'), JSON_ARRAY('Confidentiality, Integrity, Availability'), JSON_ARRAY('Identify,Protect'), JSON_ARRAY('Threat_and_vulnerability_management'), JSON_ARRAY('Governance_and_Ecosystem,Protection,Defence'), b'1'),</v>
      </c>
    </row>
    <row r="70" spans="1:13" x14ac:dyDescent="0.25">
      <c r="A70" s="13">
        <v>68</v>
      </c>
      <c r="B70" s="13" t="s">
        <v>259</v>
      </c>
      <c r="C70" s="3" t="s">
        <v>264</v>
      </c>
      <c r="D70" s="3" t="s">
        <v>71</v>
      </c>
      <c r="E70" s="18">
        <f>VLOOKUP(D70,Enums!$B$2:$C$55, 2,FALSE)</f>
        <v>14</v>
      </c>
      <c r="F70" s="25" t="s">
        <v>123</v>
      </c>
      <c r="G70" s="3" t="s">
        <v>320</v>
      </c>
      <c r="H70" s="3" t="s">
        <v>88</v>
      </c>
      <c r="I70" s="3" t="s">
        <v>100</v>
      </c>
      <c r="J70" s="3" t="s">
        <v>110</v>
      </c>
      <c r="K70" s="3" t="b">
        <v>1</v>
      </c>
      <c r="M70" s="20" t="str">
        <f t="shared" si="1"/>
        <v>('8.9', 'Configuration management', 14, JSON_ARRAY('Preventive'), JSON_ARRAY('Confidentiality, Integrity, Availability'), JSON_ARRAY('Protect'), JSON_ARRAY('Secure_configuration'), JSON_ARRAY('Protection'), b'1'),</v>
      </c>
    </row>
    <row r="71" spans="1:13" x14ac:dyDescent="0.25">
      <c r="A71" s="13">
        <v>69</v>
      </c>
      <c r="B71" s="13" t="s">
        <v>260</v>
      </c>
      <c r="C71" s="3" t="s">
        <v>265</v>
      </c>
      <c r="D71" s="3" t="s">
        <v>71</v>
      </c>
      <c r="E71" s="18">
        <f>VLOOKUP(D71,Enums!$B$2:$C$55, 2,FALSE)</f>
        <v>14</v>
      </c>
      <c r="F71" s="25" t="s">
        <v>123</v>
      </c>
      <c r="G71" s="3" t="s">
        <v>83</v>
      </c>
      <c r="H71" s="3" t="s">
        <v>88</v>
      </c>
      <c r="I71" s="3" t="s">
        <v>345</v>
      </c>
      <c r="J71" s="3" t="s">
        <v>110</v>
      </c>
      <c r="K71" s="3" t="b">
        <v>1</v>
      </c>
      <c r="M71" s="20" t="str">
        <f t="shared" si="1"/>
        <v>('8.10', 'Information deletion', 14, JSON_ARRAY('Preventive'), JSON_ARRAY('Confidentiality'), JSON_ARRAY('Protect'), JSON_ARRAY('Information_protection,Legal_and_compliance'), JSON_ARRAY('Protection'), b'1'),</v>
      </c>
    </row>
    <row r="72" spans="1:13" x14ac:dyDescent="0.25">
      <c r="A72" s="13">
        <v>70</v>
      </c>
      <c r="B72" s="13" t="s">
        <v>268</v>
      </c>
      <c r="C72" s="3" t="s">
        <v>266</v>
      </c>
      <c r="D72" s="3" t="s">
        <v>71</v>
      </c>
      <c r="E72" s="18">
        <f>VLOOKUP(D72,Enums!$B$2:$C$55, 2,FALSE)</f>
        <v>14</v>
      </c>
      <c r="F72" s="25" t="s">
        <v>123</v>
      </c>
      <c r="G72" s="3" t="s">
        <v>83</v>
      </c>
      <c r="H72" s="3" t="s">
        <v>88</v>
      </c>
      <c r="I72" s="3" t="s">
        <v>95</v>
      </c>
      <c r="J72" s="3" t="s">
        <v>110</v>
      </c>
      <c r="K72" s="3" t="b">
        <v>1</v>
      </c>
      <c r="M72" s="20" t="str">
        <f t="shared" si="1"/>
        <v>('8.11', 'Data masking', 14, JSON_ARRAY('Preventive'), JSON_ARRAY('Confidentiality'), JSON_ARRAY('Protect'), JSON_ARRAY('Information_protection'), JSON_ARRAY('Protection'), b'1'),</v>
      </c>
    </row>
    <row r="73" spans="1:13" x14ac:dyDescent="0.25">
      <c r="A73" s="13">
        <v>71</v>
      </c>
      <c r="B73" s="13" t="s">
        <v>269</v>
      </c>
      <c r="C73" s="3" t="s">
        <v>267</v>
      </c>
      <c r="D73" s="3" t="s">
        <v>71</v>
      </c>
      <c r="E73" s="18">
        <f>VLOOKUP(D73,Enums!$B$2:$C$55, 2,FALSE)</f>
        <v>14</v>
      </c>
      <c r="F73" s="25" t="s">
        <v>339</v>
      </c>
      <c r="G73" s="3" t="s">
        <v>83</v>
      </c>
      <c r="H73" s="3" t="s">
        <v>336</v>
      </c>
      <c r="I73" s="3" t="s">
        <v>95</v>
      </c>
      <c r="J73" s="3" t="s">
        <v>366</v>
      </c>
      <c r="K73" s="3" t="b">
        <v>1</v>
      </c>
      <c r="M73" s="20" t="str">
        <f t="shared" si="1"/>
        <v>('8.12', 'Data leakage prevention', 14, JSON_ARRAY('Preventive,Detective'), JSON_ARRAY('Confidentiality'), JSON_ARRAY('ProtectDetect'), JSON_ARRAY('Information_protection'), JSON_ARRAY('Protection,Defence'), b'1'),</v>
      </c>
    </row>
    <row r="74" spans="1:13" x14ac:dyDescent="0.25">
      <c r="A74" s="13">
        <v>72</v>
      </c>
      <c r="B74" s="13" t="s">
        <v>271</v>
      </c>
      <c r="C74" s="3" t="s">
        <v>270</v>
      </c>
      <c r="D74" s="3" t="s">
        <v>71</v>
      </c>
      <c r="E74" s="18">
        <f>VLOOKUP(D74,Enums!$B$2:$C$55, 2,FALSE)</f>
        <v>14</v>
      </c>
      <c r="F74" s="25" t="s">
        <v>81</v>
      </c>
      <c r="G74" s="3" t="s">
        <v>321</v>
      </c>
      <c r="H74" s="3" t="s">
        <v>91</v>
      </c>
      <c r="I74" s="3" t="s">
        <v>103</v>
      </c>
      <c r="J74" s="3" t="s">
        <v>110</v>
      </c>
      <c r="K74" s="3" t="b">
        <v>1</v>
      </c>
      <c r="M74" s="20" t="str">
        <f t="shared" si="1"/>
        <v>('8.13', 'Information backup', 14, JSON_ARRAY('Corrective'), JSON_ARRAY('Integrity, Availability'), JSON_ARRAY('Recover'), JSON_ARRAY('Continuity'), JSON_ARRAY('Protection'), b'1'),</v>
      </c>
    </row>
    <row r="75" spans="1:13" x14ac:dyDescent="0.25">
      <c r="A75" s="13">
        <v>73</v>
      </c>
      <c r="B75" s="13" t="s">
        <v>272</v>
      </c>
      <c r="C75" s="3" t="s">
        <v>273</v>
      </c>
      <c r="D75" s="3" t="s">
        <v>71</v>
      </c>
      <c r="E75" s="18">
        <f>VLOOKUP(D75,Enums!$B$2:$C$55, 2,FALSE)</f>
        <v>14</v>
      </c>
      <c r="F75" s="25" t="s">
        <v>123</v>
      </c>
      <c r="G75" s="3" t="s">
        <v>85</v>
      </c>
      <c r="H75" s="3" t="s">
        <v>88</v>
      </c>
      <c r="I75" s="3" t="s">
        <v>355</v>
      </c>
      <c r="J75" s="3" t="s">
        <v>368</v>
      </c>
      <c r="K75" s="3" t="b">
        <v>1</v>
      </c>
      <c r="M75" s="20" t="str">
        <f t="shared" si="1"/>
        <v>('8.14', 'Redundancy of information processing facilities', 14, JSON_ARRAY('Preventive'), JSON_ARRAY('Availability'), JSON_ARRAY('Protect'), JSON_ARRAY('Continuity,Asset_management'), JSON_ARRAY('Protection,Resilience'), b'1'),</v>
      </c>
    </row>
    <row r="76" spans="1:13" x14ac:dyDescent="0.25">
      <c r="A76" s="13">
        <v>74</v>
      </c>
      <c r="B76" s="13" t="s">
        <v>275</v>
      </c>
      <c r="C76" s="3" t="s">
        <v>274</v>
      </c>
      <c r="D76" s="3" t="s">
        <v>71</v>
      </c>
      <c r="E76" s="18">
        <f>VLOOKUP(D76,Enums!$B$2:$C$55, 2,FALSE)</f>
        <v>14</v>
      </c>
      <c r="F76" s="25" t="s">
        <v>80</v>
      </c>
      <c r="G76" s="3" t="s">
        <v>320</v>
      </c>
      <c r="H76" s="3" t="s">
        <v>89</v>
      </c>
      <c r="I76" s="3" t="s">
        <v>106</v>
      </c>
      <c r="J76" s="3" t="s">
        <v>366</v>
      </c>
      <c r="K76" s="3" t="b">
        <v>1</v>
      </c>
      <c r="M76" s="20" t="str">
        <f t="shared" si="1"/>
        <v>('8.15', 'Logging', 14, JSON_ARRAY('Detective'), JSON_ARRAY('Confidentiality, Integrity, Availability'), JSON_ARRAY('Detect'), JSON_ARRAY('Information_security_event_management'), JSON_ARRAY('Protection,Defence'), b'1'),</v>
      </c>
    </row>
    <row r="77" spans="1:13" x14ac:dyDescent="0.25">
      <c r="A77" s="13">
        <v>75</v>
      </c>
      <c r="B77" s="13" t="s">
        <v>276</v>
      </c>
      <c r="C77" s="3" t="s">
        <v>277</v>
      </c>
      <c r="D77" s="3" t="s">
        <v>71</v>
      </c>
      <c r="E77" s="18">
        <f>VLOOKUP(D77,Enums!$B$2:$C$55, 2,FALSE)</f>
        <v>14</v>
      </c>
      <c r="F77" s="25" t="s">
        <v>340</v>
      </c>
      <c r="G77" s="3" t="s">
        <v>323</v>
      </c>
      <c r="H77" s="3" t="s">
        <v>331</v>
      </c>
      <c r="I77" s="3" t="s">
        <v>106</v>
      </c>
      <c r="J77" s="3" t="s">
        <v>111</v>
      </c>
      <c r="K77" s="3" t="b">
        <v>1</v>
      </c>
      <c r="M77" s="20" t="str">
        <f t="shared" si="1"/>
        <v>('8.16', 'Monitoring activities', 14, JSON_ARRAY('Detective,Corrective'), JSON_ARRAY('Confidentiality, Integrity Availability'), JSON_ARRAY('Detect,Respond'), JSON_ARRAY('Information_security_event_management'), JSON_ARRAY('Defence'), b'1'),</v>
      </c>
    </row>
    <row r="78" spans="1:13" x14ac:dyDescent="0.25">
      <c r="A78" s="13">
        <v>76</v>
      </c>
      <c r="B78" s="13" t="s">
        <v>280</v>
      </c>
      <c r="C78" s="3" t="s">
        <v>278</v>
      </c>
      <c r="D78" s="3" t="s">
        <v>71</v>
      </c>
      <c r="E78" s="18">
        <f>VLOOKUP(D78,Enums!$B$2:$C$55, 2,FALSE)</f>
        <v>14</v>
      </c>
      <c r="F78" s="25" t="s">
        <v>80</v>
      </c>
      <c r="G78" s="3" t="s">
        <v>84</v>
      </c>
      <c r="H78" s="3" t="s">
        <v>334</v>
      </c>
      <c r="I78" s="3" t="s">
        <v>106</v>
      </c>
      <c r="J78" s="3" t="s">
        <v>366</v>
      </c>
      <c r="K78" s="3" t="b">
        <v>1</v>
      </c>
      <c r="M78" s="20" t="str">
        <f t="shared" si="1"/>
        <v>('8.17', ' Clock synchronization', 14, JSON_ARRAY('Detective'), JSON_ARRAY('Integrity'), JSON_ARRAY('Protect,Detect'), JSON_ARRAY('Information_security_event_management'), JSON_ARRAY('Protection,Defence'), b'1'),</v>
      </c>
    </row>
    <row r="79" spans="1:13" x14ac:dyDescent="0.25">
      <c r="A79" s="13">
        <v>77</v>
      </c>
      <c r="B79" s="13" t="s">
        <v>281</v>
      </c>
      <c r="C79" s="3" t="s">
        <v>279</v>
      </c>
      <c r="D79" s="3" t="s">
        <v>71</v>
      </c>
      <c r="E79" s="18">
        <f>VLOOKUP(D79,Enums!$B$2:$C$55, 2,FALSE)</f>
        <v>14</v>
      </c>
      <c r="F79" s="25" t="s">
        <v>123</v>
      </c>
      <c r="G79" s="3" t="s">
        <v>320</v>
      </c>
      <c r="H79" s="3" t="s">
        <v>88</v>
      </c>
      <c r="I79" s="3" t="s">
        <v>356</v>
      </c>
      <c r="J79" s="3" t="s">
        <v>110</v>
      </c>
      <c r="K79" s="3" t="b">
        <v>1</v>
      </c>
      <c r="M79" s="20" t="str">
        <f t="shared" si="1"/>
        <v>('8.18', 'Use of privileged utility programs', 14, JSON_ARRAY('Preventive'), JSON_ARRAY('Confidentiality, Integrity, Availability'), JSON_ARRAY('Protect'), JSON_ARRAY('System_and_network_security,Secure_configuration,Application_security'), JSON_ARRAY('Protection'), b'1'),</v>
      </c>
    </row>
    <row r="80" spans="1:13" x14ac:dyDescent="0.25">
      <c r="A80" s="13">
        <v>78</v>
      </c>
      <c r="B80" s="13" t="s">
        <v>282</v>
      </c>
      <c r="C80" s="3" t="s">
        <v>283</v>
      </c>
      <c r="D80" s="3" t="s">
        <v>71</v>
      </c>
      <c r="E80" s="18">
        <f>VLOOKUP(D80,Enums!$B$2:$C$55, 2,FALSE)</f>
        <v>14</v>
      </c>
      <c r="F80" s="25" t="s">
        <v>123</v>
      </c>
      <c r="G80" s="3" t="s">
        <v>320</v>
      </c>
      <c r="H80" s="3" t="s">
        <v>88</v>
      </c>
      <c r="I80" s="3" t="s">
        <v>357</v>
      </c>
      <c r="J80" s="3" t="s">
        <v>110</v>
      </c>
      <c r="K80" s="3" t="b">
        <v>1</v>
      </c>
      <c r="M80" s="20" t="str">
        <f t="shared" si="1"/>
        <v>('8.19', 'Installation of software on operational systems', 14, JSON_ARRAY('Preventive'), JSON_ARRAY('Confidentiality, Integrity, Availability'), JSON_ARRAY('Protect'), JSON_ARRAY('Secure_configuration,Application_security'), JSON_ARRAY('Protection'), b'1'),</v>
      </c>
    </row>
    <row r="81" spans="1:13" x14ac:dyDescent="0.25">
      <c r="A81" s="13">
        <v>79</v>
      </c>
      <c r="B81" s="13" t="s">
        <v>285</v>
      </c>
      <c r="C81" s="3" t="s">
        <v>284</v>
      </c>
      <c r="D81" s="3" t="s">
        <v>71</v>
      </c>
      <c r="E81" s="18">
        <f>VLOOKUP(D81,Enums!$B$2:$C$55, 2,FALSE)</f>
        <v>14</v>
      </c>
      <c r="F81" s="25" t="s">
        <v>339</v>
      </c>
      <c r="G81" s="3" t="s">
        <v>320</v>
      </c>
      <c r="H81" s="3" t="s">
        <v>334</v>
      </c>
      <c r="I81" s="3" t="s">
        <v>98</v>
      </c>
      <c r="J81" s="3" t="s">
        <v>110</v>
      </c>
      <c r="K81" s="3" t="b">
        <v>1</v>
      </c>
      <c r="M81" s="20" t="str">
        <f t="shared" si="1"/>
        <v>('8.20', 'Networks security', 14, JSON_ARRAY('Preventive,Detective'), JSON_ARRAY('Confidentiality, Integrity, Availability'), JSON_ARRAY('Protect,Detect'), JSON_ARRAY('System_and_network_security'), JSON_ARRAY('Protection'), b'1'),</v>
      </c>
    </row>
    <row r="82" spans="1:13" x14ac:dyDescent="0.25">
      <c r="A82" s="13">
        <v>80</v>
      </c>
      <c r="B82" s="13" t="s">
        <v>286</v>
      </c>
      <c r="C82" s="3" t="s">
        <v>287</v>
      </c>
      <c r="D82" s="3" t="s">
        <v>71</v>
      </c>
      <c r="E82" s="18">
        <f>VLOOKUP(D82,Enums!$B$2:$C$55, 2,FALSE)</f>
        <v>14</v>
      </c>
      <c r="F82" s="25" t="s">
        <v>123</v>
      </c>
      <c r="G82" s="3" t="s">
        <v>320</v>
      </c>
      <c r="H82" s="3" t="s">
        <v>88</v>
      </c>
      <c r="I82" s="3" t="s">
        <v>98</v>
      </c>
      <c r="J82" s="3" t="s">
        <v>110</v>
      </c>
      <c r="K82" s="3" t="b">
        <v>1</v>
      </c>
      <c r="M82" s="20" t="str">
        <f t="shared" si="1"/>
        <v>('8.21', 'Security of network services', 14, JSON_ARRAY('Preventive'), JSON_ARRAY('Confidentiality, Integrity, Availability'), JSON_ARRAY('Protect'), JSON_ARRAY('System_and_network_security'), JSON_ARRAY('Protection'), b'1'),</v>
      </c>
    </row>
    <row r="83" spans="1:13" x14ac:dyDescent="0.25">
      <c r="A83" s="13">
        <v>81</v>
      </c>
      <c r="B83" s="13" t="s">
        <v>289</v>
      </c>
      <c r="C83" s="3" t="s">
        <v>288</v>
      </c>
      <c r="D83" s="3" t="s">
        <v>71</v>
      </c>
      <c r="E83" s="18">
        <f>VLOOKUP(D83,Enums!$B$2:$C$55, 2,FALSE)</f>
        <v>14</v>
      </c>
      <c r="F83" s="25" t="s">
        <v>123</v>
      </c>
      <c r="G83" s="3" t="s">
        <v>320</v>
      </c>
      <c r="H83" s="3" t="s">
        <v>88</v>
      </c>
      <c r="I83" s="3" t="s">
        <v>98</v>
      </c>
      <c r="J83" s="3" t="s">
        <v>110</v>
      </c>
      <c r="K83" s="3" t="b">
        <v>1</v>
      </c>
      <c r="M83" s="20" t="str">
        <f t="shared" si="1"/>
        <v>('8.22', 'Segregation of networks', 14, JSON_ARRAY('Preventive'), JSON_ARRAY('Confidentiality, Integrity, Availability'), JSON_ARRAY('Protect'), JSON_ARRAY('System_and_network_security'), JSON_ARRAY('Protection'), b'1'),</v>
      </c>
    </row>
    <row r="84" spans="1:13" x14ac:dyDescent="0.25">
      <c r="A84" s="13">
        <v>82</v>
      </c>
      <c r="B84" s="13" t="s">
        <v>290</v>
      </c>
      <c r="C84" s="3" t="s">
        <v>291</v>
      </c>
      <c r="D84" s="3" t="s">
        <v>71</v>
      </c>
      <c r="E84" s="18">
        <f>VLOOKUP(D84,Enums!$B$2:$C$55, 2,FALSE)</f>
        <v>14</v>
      </c>
      <c r="F84" s="25" t="s">
        <v>123</v>
      </c>
      <c r="G84" s="3" t="s">
        <v>320</v>
      </c>
      <c r="H84" s="3" t="s">
        <v>88</v>
      </c>
      <c r="I84" s="3" t="s">
        <v>98</v>
      </c>
      <c r="J84" s="3" t="s">
        <v>110</v>
      </c>
      <c r="K84" s="3" t="b">
        <v>1</v>
      </c>
      <c r="M84" s="20" t="str">
        <f t="shared" si="1"/>
        <v>('8.23', 'Web filtering', 14, JSON_ARRAY('Preventive'), JSON_ARRAY('Confidentiality, Integrity, Availability'), JSON_ARRAY('Protect'), JSON_ARRAY('System_and_network_security'), JSON_ARRAY('Protection'), b'1'),</v>
      </c>
    </row>
    <row r="85" spans="1:13" x14ac:dyDescent="0.25">
      <c r="A85" s="13">
        <v>83</v>
      </c>
      <c r="B85" s="13" t="s">
        <v>294</v>
      </c>
      <c r="C85" s="3" t="s">
        <v>292</v>
      </c>
      <c r="D85" s="3" t="s">
        <v>71</v>
      </c>
      <c r="E85" s="18">
        <f>VLOOKUP(D85,Enums!$B$2:$C$55, 2,FALSE)</f>
        <v>14</v>
      </c>
      <c r="F85" s="25" t="s">
        <v>123</v>
      </c>
      <c r="G85" s="3" t="s">
        <v>320</v>
      </c>
      <c r="H85" s="3" t="s">
        <v>88</v>
      </c>
      <c r="I85" s="3" t="s">
        <v>100</v>
      </c>
      <c r="J85" s="3" t="s">
        <v>110</v>
      </c>
      <c r="K85" s="3" t="b">
        <v>1</v>
      </c>
      <c r="M85" s="20" t="str">
        <f t="shared" si="1"/>
        <v>('8.24', 'Use of cryptography', 14, JSON_ARRAY('Preventive'), JSON_ARRAY('Confidentiality, Integrity, Availability'), JSON_ARRAY('Protect'), JSON_ARRAY('Secure_configuration'), JSON_ARRAY('Protection'), b'1'),</v>
      </c>
    </row>
    <row r="86" spans="1:13" x14ac:dyDescent="0.25">
      <c r="A86" s="13">
        <v>84</v>
      </c>
      <c r="B86" s="13" t="s">
        <v>295</v>
      </c>
      <c r="C86" s="3" t="s">
        <v>293</v>
      </c>
      <c r="D86" s="3" t="s">
        <v>71</v>
      </c>
      <c r="E86" s="18">
        <f>VLOOKUP(D86,Enums!$B$2:$C$55, 2,FALSE)</f>
        <v>14</v>
      </c>
      <c r="F86" s="25" t="s">
        <v>123</v>
      </c>
      <c r="G86" s="3" t="s">
        <v>320</v>
      </c>
      <c r="H86" s="3" t="s">
        <v>88</v>
      </c>
      <c r="I86" s="3" t="s">
        <v>358</v>
      </c>
      <c r="J86" s="3" t="s">
        <v>110</v>
      </c>
      <c r="K86" s="3" t="b">
        <v>1</v>
      </c>
      <c r="M86" s="20" t="str">
        <f t="shared" si="1"/>
        <v>('8.25', 'Secure development life cycle', 14, JSON_ARRAY('Preventive'), JSON_ARRAY('Confidentiality, Integrity, Availability'), JSON_ARRAY('Protect'), JSON_ARRAY('Application_security,System_and_network_security'), JSON_ARRAY('Protection'), b'1'),</v>
      </c>
    </row>
    <row r="87" spans="1:13" x14ac:dyDescent="0.25">
      <c r="A87" s="13">
        <v>85</v>
      </c>
      <c r="B87" s="13" t="s">
        <v>296</v>
      </c>
      <c r="C87" s="3" t="s">
        <v>297</v>
      </c>
      <c r="D87" s="3" t="s">
        <v>71</v>
      </c>
      <c r="E87" s="18">
        <f>VLOOKUP(D87,Enums!$B$2:$C$55, 2,FALSE)</f>
        <v>14</v>
      </c>
      <c r="F87" s="25" t="s">
        <v>123</v>
      </c>
      <c r="G87" s="3" t="s">
        <v>320</v>
      </c>
      <c r="H87" s="3" t="s">
        <v>88</v>
      </c>
      <c r="I87" s="3" t="s">
        <v>358</v>
      </c>
      <c r="J87" s="3" t="s">
        <v>366</v>
      </c>
      <c r="K87" s="3" t="b">
        <v>1</v>
      </c>
      <c r="M87" s="20" t="str">
        <f t="shared" si="1"/>
        <v>('8.26', 'Application security requirements', 14, JSON_ARRAY('Preventive'), JSON_ARRAY('Confidentiality, Integrity, Availability'), JSON_ARRAY('Protect'), JSON_ARRAY('Application_security,System_and_network_security'), JSON_ARRAY('Protection,Defence'), b'1'),</v>
      </c>
    </row>
    <row r="88" spans="1:13" x14ac:dyDescent="0.25">
      <c r="A88" s="13">
        <v>86</v>
      </c>
      <c r="B88" s="13" t="s">
        <v>300</v>
      </c>
      <c r="C88" s="3" t="s">
        <v>298</v>
      </c>
      <c r="D88" s="3" t="s">
        <v>71</v>
      </c>
      <c r="E88" s="18">
        <f>VLOOKUP(D88,Enums!$B$2:$C$55, 2,FALSE)</f>
        <v>14</v>
      </c>
      <c r="F88" s="25" t="s">
        <v>123</v>
      </c>
      <c r="G88" s="3" t="s">
        <v>320</v>
      </c>
      <c r="H88" s="3" t="s">
        <v>88</v>
      </c>
      <c r="I88" s="3" t="s">
        <v>358</v>
      </c>
      <c r="J88" s="3" t="s">
        <v>110</v>
      </c>
      <c r="K88" s="3" t="b">
        <v>1</v>
      </c>
      <c r="M88" s="20" t="str">
        <f t="shared" si="1"/>
        <v>('8.27', ' Secure system architecture and engineering principles', 14, JSON_ARRAY('Preventive'), JSON_ARRAY('Confidentiality, Integrity, Availability'), JSON_ARRAY('Protect'), JSON_ARRAY('Application_security,System_and_network_security'), JSON_ARRAY('Protection'), b'1'),</v>
      </c>
    </row>
    <row r="89" spans="1:13" x14ac:dyDescent="0.25">
      <c r="A89" s="13">
        <v>87</v>
      </c>
      <c r="B89" s="13" t="s">
        <v>301</v>
      </c>
      <c r="C89" s="3" t="s">
        <v>299</v>
      </c>
      <c r="D89" s="3" t="s">
        <v>71</v>
      </c>
      <c r="E89" s="18">
        <f>VLOOKUP(D89,Enums!$B$2:$C$55, 2,FALSE)</f>
        <v>14</v>
      </c>
      <c r="F89" s="25" t="s">
        <v>123</v>
      </c>
      <c r="G89" s="3" t="s">
        <v>320</v>
      </c>
      <c r="H89" s="3" t="s">
        <v>88</v>
      </c>
      <c r="I89" s="3" t="s">
        <v>358</v>
      </c>
      <c r="J89" s="3" t="s">
        <v>110</v>
      </c>
      <c r="K89" s="3" t="b">
        <v>1</v>
      </c>
      <c r="M89" s="20" t="str">
        <f t="shared" si="1"/>
        <v>('8.28', 'Secure coding', 14, JSON_ARRAY('Preventive'), JSON_ARRAY('Confidentiality, Integrity, Availability'), JSON_ARRAY('Protect'), JSON_ARRAY('Application_security,System_and_network_security'), JSON_ARRAY('Protection'), b'1'),</v>
      </c>
    </row>
    <row r="90" spans="1:13" x14ac:dyDescent="0.25">
      <c r="A90" s="13">
        <v>88</v>
      </c>
      <c r="B90" s="13" t="s">
        <v>302</v>
      </c>
      <c r="C90" s="3" t="s">
        <v>303</v>
      </c>
      <c r="D90" s="3" t="s">
        <v>71</v>
      </c>
      <c r="E90" s="18">
        <f>VLOOKUP(D90,Enums!$B$2:$C$55, 2,FALSE)</f>
        <v>14</v>
      </c>
      <c r="F90" s="25" t="s">
        <v>123</v>
      </c>
      <c r="G90" s="3" t="s">
        <v>320</v>
      </c>
      <c r="H90" s="3" t="s">
        <v>87</v>
      </c>
      <c r="I90" s="3" t="s">
        <v>359</v>
      </c>
      <c r="J90" s="3" t="s">
        <v>110</v>
      </c>
      <c r="K90" s="3" t="b">
        <v>1</v>
      </c>
      <c r="M90" s="20" t="str">
        <f t="shared" si="1"/>
        <v>('8.29', 'Security testing in development and acceptance', 14, JSON_ARRAY('Preventive'), JSON_ARRAY('Confidentiality, Integrity, Availability'), JSON_ARRAY('Identify'), JSON_ARRAY('Application_security,Information_security_assurance,System_and_network_security'), JSON_ARRAY('Protection'), b'1'),</v>
      </c>
    </row>
    <row r="91" spans="1:13" x14ac:dyDescent="0.25">
      <c r="A91" s="13">
        <v>89</v>
      </c>
      <c r="B91" s="13" t="s">
        <v>305</v>
      </c>
      <c r="C91" s="3" t="s">
        <v>304</v>
      </c>
      <c r="D91" s="3" t="s">
        <v>71</v>
      </c>
      <c r="E91" s="18">
        <f>VLOOKUP(D91,Enums!$B$2:$C$55, 2,FALSE)</f>
        <v>14</v>
      </c>
      <c r="F91" s="25" t="s">
        <v>339</v>
      </c>
      <c r="G91" s="3" t="s">
        <v>320</v>
      </c>
      <c r="H91" s="3" t="s">
        <v>335</v>
      </c>
      <c r="I91" s="3" t="s">
        <v>360</v>
      </c>
      <c r="J91" s="3" t="s">
        <v>365</v>
      </c>
      <c r="K91" s="3" t="b">
        <v>1</v>
      </c>
      <c r="M91" s="20" t="str">
        <f t="shared" si="1"/>
        <v>('8.30', ' Outsourced development', 14, JSON_ARRAY('Preventive,Detective'), JSON_ARRAY('Confidentiality, Integrity, Availability'), JSON_ARRAY('Identify,Protect,Detect'), JSON_ARRAY('System_and_network_security,Application_security,Supplier_relationships_security'), JSON_ARRAY('Governance_and_Ecosystem,Protection'), b'1'),</v>
      </c>
    </row>
    <row r="92" spans="1:13" x14ac:dyDescent="0.25">
      <c r="A92" s="13">
        <v>90</v>
      </c>
      <c r="B92" s="13" t="s">
        <v>306</v>
      </c>
      <c r="C92" s="3" t="s">
        <v>307</v>
      </c>
      <c r="D92" s="3" t="s">
        <v>71</v>
      </c>
      <c r="E92" s="18">
        <f>VLOOKUP(D92,Enums!$B$2:$C$55, 2,FALSE)</f>
        <v>14</v>
      </c>
      <c r="F92" s="25" t="s">
        <v>123</v>
      </c>
      <c r="G92" s="3" t="s">
        <v>320</v>
      </c>
      <c r="H92" s="3" t="s">
        <v>88</v>
      </c>
      <c r="I92" s="3" t="s">
        <v>358</v>
      </c>
      <c r="J92" s="3" t="s">
        <v>110</v>
      </c>
      <c r="K92" s="3" t="b">
        <v>1</v>
      </c>
      <c r="M92" s="20" t="str">
        <f t="shared" si="1"/>
        <v>('8.31', 'Separation of development, test and production environments', 14, JSON_ARRAY('Preventive'), JSON_ARRAY('Confidentiality, Integrity, Availability'), JSON_ARRAY('Protect'), JSON_ARRAY('Application_security,System_and_network_security'), JSON_ARRAY('Protection'), b'1'),</v>
      </c>
    </row>
    <row r="93" spans="1:13" x14ac:dyDescent="0.25">
      <c r="A93" s="13">
        <v>91</v>
      </c>
      <c r="B93" s="13" t="s">
        <v>309</v>
      </c>
      <c r="C93" s="3" t="s">
        <v>308</v>
      </c>
      <c r="D93" s="3" t="s">
        <v>71</v>
      </c>
      <c r="E93" s="18">
        <f>VLOOKUP(D93,Enums!$B$2:$C$55, 2,FALSE)</f>
        <v>14</v>
      </c>
      <c r="F93" s="25" t="s">
        <v>123</v>
      </c>
      <c r="G93" s="3" t="s">
        <v>320</v>
      </c>
      <c r="H93" s="3" t="s">
        <v>88</v>
      </c>
      <c r="I93" s="3" t="s">
        <v>358</v>
      </c>
      <c r="J93" s="3" t="s">
        <v>110</v>
      </c>
      <c r="K93" s="3" t="b">
        <v>1</v>
      </c>
      <c r="M93" s="20" t="str">
        <f t="shared" si="1"/>
        <v>('8.32', 'Change management', 14, JSON_ARRAY('Preventive'), JSON_ARRAY('Confidentiality, Integrity, Availability'), JSON_ARRAY('Protect'), JSON_ARRAY('Application_security,System_and_network_security'), JSON_ARRAY('Protection'), b'1'),</v>
      </c>
    </row>
    <row r="94" spans="1:13" x14ac:dyDescent="0.25">
      <c r="A94" s="13">
        <v>92</v>
      </c>
      <c r="B94" s="13" t="s">
        <v>310</v>
      </c>
      <c r="C94" s="3" t="s">
        <v>311</v>
      </c>
      <c r="D94" s="3" t="s">
        <v>71</v>
      </c>
      <c r="E94" s="18">
        <f>VLOOKUP(D94,Enums!$B$2:$C$55, 2,FALSE)</f>
        <v>14</v>
      </c>
      <c r="F94" s="25" t="s">
        <v>123</v>
      </c>
      <c r="G94" s="3" t="s">
        <v>324</v>
      </c>
      <c r="H94" s="3" t="s">
        <v>88</v>
      </c>
      <c r="I94" s="3" t="s">
        <v>95</v>
      </c>
      <c r="J94" s="3" t="s">
        <v>110</v>
      </c>
      <c r="K94" s="3" t="b">
        <v>1</v>
      </c>
      <c r="M94" s="20" t="str">
        <f t="shared" si="1"/>
        <v>('8.33', 'Test information', 14, JSON_ARRAY('Preventive'), JSON_ARRAY('Confidentiality, Integrity'), JSON_ARRAY('Protect'), JSON_ARRAY('Information_protection'), JSON_ARRAY('Protection'), b'1'),</v>
      </c>
    </row>
    <row r="95" spans="1:13" x14ac:dyDescent="0.25">
      <c r="A95" s="13">
        <v>93</v>
      </c>
      <c r="B95" s="13" t="s">
        <v>313</v>
      </c>
      <c r="C95" s="3" t="s">
        <v>312</v>
      </c>
      <c r="D95" s="3" t="s">
        <v>71</v>
      </c>
      <c r="E95" s="18">
        <f>VLOOKUP(D95,Enums!$B$2:$C$55, 2,FALSE)</f>
        <v>14</v>
      </c>
      <c r="F95" s="25" t="s">
        <v>123</v>
      </c>
      <c r="G95" s="3" t="s">
        <v>320</v>
      </c>
      <c r="H95" s="3" t="s">
        <v>88</v>
      </c>
      <c r="I95" s="3" t="s">
        <v>354</v>
      </c>
      <c r="J95" s="3" t="s">
        <v>365</v>
      </c>
      <c r="K95" s="3" t="b">
        <v>1</v>
      </c>
      <c r="M95" s="20" t="str">
        <f t="shared" si="1"/>
        <v>('8.34', 'Protection of information systems during audit testing', 14, JSON_ARRAY('Preventive'), JSON_ARRAY('Confidentiality, Integrity, Availability'), JSON_ARRAY('Protect'), JSON_ARRAY('System_and_network_security,Information_protection'), JSON_ARRAY('Governance_and_Ecosystem,Protection'), b'1'),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6E75-F4C8-436C-A753-A79E58030BA8}">
  <dimension ref="A1:A46"/>
  <sheetViews>
    <sheetView workbookViewId="0">
      <selection activeCell="A10" sqref="A10"/>
    </sheetView>
  </sheetViews>
  <sheetFormatPr defaultRowHeight="15" x14ac:dyDescent="0.25"/>
  <cols>
    <col min="1" max="1" width="79.7109375" bestFit="1" customWidth="1"/>
  </cols>
  <sheetData>
    <row r="1" spans="1:1" x14ac:dyDescent="0.25">
      <c r="A1" s="2" t="s">
        <v>67</v>
      </c>
    </row>
    <row r="2" spans="1:1" x14ac:dyDescent="0.25">
      <c r="A2" s="3" t="s">
        <v>22</v>
      </c>
    </row>
    <row r="3" spans="1:1" x14ac:dyDescent="0.25">
      <c r="A3" s="3" t="s">
        <v>23</v>
      </c>
    </row>
    <row r="4" spans="1:1" x14ac:dyDescent="0.25">
      <c r="A4" s="3" t="s">
        <v>24</v>
      </c>
    </row>
    <row r="5" spans="1:1" x14ac:dyDescent="0.25">
      <c r="A5" s="3" t="s">
        <v>25</v>
      </c>
    </row>
    <row r="6" spans="1:1" x14ac:dyDescent="0.25">
      <c r="A6" s="3" t="s">
        <v>26</v>
      </c>
    </row>
    <row r="7" spans="1:1" x14ac:dyDescent="0.25">
      <c r="A7" s="3" t="s">
        <v>27</v>
      </c>
    </row>
    <row r="8" spans="1:1" x14ac:dyDescent="0.25">
      <c r="A8" s="3" t="s">
        <v>28</v>
      </c>
    </row>
    <row r="9" spans="1:1" x14ac:dyDescent="0.25">
      <c r="A9" s="3" t="s">
        <v>29</v>
      </c>
    </row>
    <row r="10" spans="1:1" x14ac:dyDescent="0.25">
      <c r="A10" s="3" t="s">
        <v>30</v>
      </c>
    </row>
    <row r="11" spans="1:1" x14ac:dyDescent="0.25">
      <c r="A11" s="3" t="s">
        <v>31</v>
      </c>
    </row>
    <row r="12" spans="1:1" x14ac:dyDescent="0.25">
      <c r="A12" s="3" t="s">
        <v>32</v>
      </c>
    </row>
    <row r="13" spans="1:1" x14ac:dyDescent="0.25">
      <c r="A13" s="3" t="s">
        <v>33</v>
      </c>
    </row>
    <row r="14" spans="1:1" x14ac:dyDescent="0.25">
      <c r="A14" s="3" t="s">
        <v>34</v>
      </c>
    </row>
    <row r="15" spans="1:1" x14ac:dyDescent="0.25">
      <c r="A15" s="3" t="s">
        <v>35</v>
      </c>
    </row>
    <row r="16" spans="1:1" x14ac:dyDescent="0.25">
      <c r="A16" s="3" t="s">
        <v>36</v>
      </c>
    </row>
    <row r="17" spans="1:1" x14ac:dyDescent="0.25">
      <c r="A17" s="3" t="s">
        <v>37</v>
      </c>
    </row>
    <row r="18" spans="1:1" x14ac:dyDescent="0.25">
      <c r="A18" s="3" t="s">
        <v>38</v>
      </c>
    </row>
    <row r="19" spans="1:1" x14ac:dyDescent="0.25">
      <c r="A19" s="3" t="s">
        <v>39</v>
      </c>
    </row>
    <row r="20" spans="1:1" x14ac:dyDescent="0.25">
      <c r="A20" s="3" t="s">
        <v>40</v>
      </c>
    </row>
    <row r="21" spans="1:1" x14ac:dyDescent="0.25">
      <c r="A21" s="3" t="s">
        <v>41</v>
      </c>
    </row>
    <row r="22" spans="1:1" x14ac:dyDescent="0.25">
      <c r="A22" s="3" t="s">
        <v>42</v>
      </c>
    </row>
    <row r="23" spans="1:1" x14ac:dyDescent="0.25">
      <c r="A23" s="3" t="s">
        <v>43</v>
      </c>
    </row>
    <row r="24" spans="1:1" x14ac:dyDescent="0.25">
      <c r="A24" s="3" t="s">
        <v>44</v>
      </c>
    </row>
    <row r="25" spans="1:1" x14ac:dyDescent="0.25">
      <c r="A25" s="3" t="s">
        <v>45</v>
      </c>
    </row>
    <row r="26" spans="1:1" x14ac:dyDescent="0.25">
      <c r="A26" s="3" t="s">
        <v>46</v>
      </c>
    </row>
    <row r="27" spans="1:1" x14ac:dyDescent="0.25">
      <c r="A27" s="3" t="s">
        <v>47</v>
      </c>
    </row>
    <row r="28" spans="1:1" x14ac:dyDescent="0.25">
      <c r="A28" s="3" t="s">
        <v>48</v>
      </c>
    </row>
    <row r="29" spans="1:1" x14ac:dyDescent="0.25">
      <c r="A29" s="3" t="s">
        <v>49</v>
      </c>
    </row>
    <row r="30" spans="1:1" x14ac:dyDescent="0.25">
      <c r="A30" s="3" t="s">
        <v>50</v>
      </c>
    </row>
    <row r="31" spans="1:1" x14ac:dyDescent="0.25">
      <c r="A31" s="3" t="s">
        <v>51</v>
      </c>
    </row>
    <row r="32" spans="1:1" x14ac:dyDescent="0.25">
      <c r="A32" s="3" t="s">
        <v>52</v>
      </c>
    </row>
    <row r="33" spans="1:1" x14ac:dyDescent="0.25">
      <c r="A33" s="3" t="s">
        <v>53</v>
      </c>
    </row>
    <row r="34" spans="1:1" x14ac:dyDescent="0.25">
      <c r="A34" s="3" t="s">
        <v>54</v>
      </c>
    </row>
    <row r="35" spans="1:1" x14ac:dyDescent="0.25">
      <c r="A35" s="3" t="s">
        <v>55</v>
      </c>
    </row>
    <row r="36" spans="1:1" x14ac:dyDescent="0.25">
      <c r="A36" s="3" t="s">
        <v>56</v>
      </c>
    </row>
    <row r="37" spans="1:1" x14ac:dyDescent="0.25">
      <c r="A37" s="3" t="s">
        <v>57</v>
      </c>
    </row>
    <row r="38" spans="1:1" x14ac:dyDescent="0.25">
      <c r="A38" s="3" t="s">
        <v>58</v>
      </c>
    </row>
    <row r="39" spans="1:1" x14ac:dyDescent="0.25">
      <c r="A39" s="3" t="s">
        <v>59</v>
      </c>
    </row>
    <row r="40" spans="1:1" x14ac:dyDescent="0.25">
      <c r="A40" s="3" t="s">
        <v>60</v>
      </c>
    </row>
    <row r="41" spans="1:1" x14ac:dyDescent="0.25">
      <c r="A41" s="3" t="s">
        <v>61</v>
      </c>
    </row>
    <row r="42" spans="1:1" x14ac:dyDescent="0.25">
      <c r="A42" s="3" t="s">
        <v>62</v>
      </c>
    </row>
    <row r="43" spans="1:1" x14ac:dyDescent="0.25">
      <c r="A43" s="3" t="s">
        <v>63</v>
      </c>
    </row>
    <row r="44" spans="1:1" x14ac:dyDescent="0.25">
      <c r="A44" s="3" t="s">
        <v>64</v>
      </c>
    </row>
    <row r="45" spans="1:1" x14ac:dyDescent="0.25">
      <c r="A45" s="3" t="s">
        <v>65</v>
      </c>
    </row>
    <row r="46" spans="1:1" x14ac:dyDescent="0.25">
      <c r="A46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Entities</vt:lpstr>
      <vt:lpstr>Enums</vt:lpstr>
      <vt:lpstr>Tables</vt:lpstr>
      <vt:lpstr>Abbreviatures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Borjas G</dc:creator>
  <cp:lastModifiedBy>Alex Borjas G</cp:lastModifiedBy>
  <dcterms:created xsi:type="dcterms:W3CDTF">2015-06-05T18:17:20Z</dcterms:created>
  <dcterms:modified xsi:type="dcterms:W3CDTF">2025-10-25T21:42:04Z</dcterms:modified>
</cp:coreProperties>
</file>